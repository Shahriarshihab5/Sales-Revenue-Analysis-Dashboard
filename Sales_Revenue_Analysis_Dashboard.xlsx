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_Analysis\Projects\"/>
    </mc:Choice>
  </mc:AlternateContent>
  <xr:revisionPtr revIDLastSave="0" documentId="13_ncr:1_{A0CE32AA-B953-4FAF-B75B-9CB10B40D410}" xr6:coauthVersionLast="47" xr6:coauthVersionMax="47" xr10:uidLastSave="{00000000-0000-0000-0000-000000000000}"/>
  <bookViews>
    <workbookView xWindow="22932" yWindow="-912" windowWidth="23256" windowHeight="12456" tabRatio="500" xr2:uid="{00000000-000D-0000-FFFF-FFFF00000000}"/>
  </bookViews>
  <sheets>
    <sheet name="Raw Data" sheetId="1" r:id="rId1"/>
    <sheet name="Lookup Table" sheetId="2" r:id="rId2"/>
    <sheet name="Pivot Summary" sheetId="3" r:id="rId3"/>
    <sheet name="Monthly Trend" sheetId="4" r:id="rId4"/>
    <sheet name="What-If Analysis" sheetId="5" r:id="rId5"/>
    <sheet name="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6" l="1"/>
  <c r="J14" i="6"/>
  <c r="K13" i="6"/>
  <c r="J13" i="6"/>
  <c r="K12" i="6"/>
  <c r="J12" i="6"/>
  <c r="C23" i="5"/>
  <c r="C22" i="5"/>
  <c r="C21" i="5"/>
  <c r="C20" i="5"/>
  <c r="C19" i="5"/>
  <c r="C18" i="5"/>
  <c r="C17" i="5"/>
  <c r="C16" i="5"/>
  <c r="C15" i="5"/>
  <c r="C14" i="5"/>
  <c r="C13" i="5"/>
  <c r="B13" i="5"/>
  <c r="D13" i="5" s="1"/>
  <c r="C12" i="5"/>
  <c r="B12" i="5"/>
  <c r="D12" i="5" s="1"/>
  <c r="D15" i="4"/>
  <c r="D14" i="4"/>
  <c r="D13" i="4"/>
  <c r="D12" i="4"/>
  <c r="D11" i="4"/>
  <c r="B11" i="4"/>
  <c r="D10" i="4"/>
  <c r="D9" i="4"/>
  <c r="D8" i="4"/>
  <c r="D7" i="4"/>
  <c r="D6" i="4"/>
  <c r="D5" i="4"/>
  <c r="D4" i="4"/>
  <c r="C16" i="3"/>
  <c r="C15" i="3"/>
  <c r="C14" i="3"/>
  <c r="C13" i="3"/>
  <c r="I8" i="3"/>
  <c r="C8" i="3"/>
  <c r="F6" i="6" s="1"/>
  <c r="I7" i="3"/>
  <c r="C7" i="3"/>
  <c r="D14" i="6" s="1"/>
  <c r="B7" i="3"/>
  <c r="I6" i="3"/>
  <c r="H6" i="3"/>
  <c r="K6" i="3" s="1"/>
  <c r="C6" i="3"/>
  <c r="D13" i="6" s="1"/>
  <c r="I5" i="3"/>
  <c r="I9" i="3" s="1"/>
  <c r="C5" i="3"/>
  <c r="D12" i="6" s="1"/>
  <c r="I8" i="2"/>
  <c r="I7" i="2"/>
  <c r="I6" i="2"/>
  <c r="I5" i="2"/>
  <c r="J37" i="1"/>
  <c r="I37" i="1"/>
  <c r="K37" i="1" s="1"/>
  <c r="L37" i="1" s="1"/>
  <c r="I36" i="1"/>
  <c r="J35" i="1"/>
  <c r="I35" i="1"/>
  <c r="B15" i="4" s="1"/>
  <c r="I34" i="1"/>
  <c r="J33" i="1"/>
  <c r="I33" i="1"/>
  <c r="K33" i="1" s="1"/>
  <c r="L33" i="1" s="1"/>
  <c r="I32" i="1"/>
  <c r="J31" i="1"/>
  <c r="I31" i="1"/>
  <c r="K31" i="1" s="1"/>
  <c r="L31" i="1" s="1"/>
  <c r="I30" i="1"/>
  <c r="J29" i="1"/>
  <c r="I29" i="1"/>
  <c r="K29" i="1" s="1"/>
  <c r="I28" i="1"/>
  <c r="J27" i="1"/>
  <c r="I27" i="1"/>
  <c r="K27" i="1" s="1"/>
  <c r="L27" i="1" s="1"/>
  <c r="I26" i="1"/>
  <c r="B12" i="4" s="1"/>
  <c r="F12" i="4" s="1"/>
  <c r="J25" i="1"/>
  <c r="I25" i="1"/>
  <c r="K25" i="1" s="1"/>
  <c r="L25" i="1" s="1"/>
  <c r="I24" i="1"/>
  <c r="J23" i="1"/>
  <c r="I23" i="1"/>
  <c r="K23" i="1" s="1"/>
  <c r="I22" i="1"/>
  <c r="J21" i="1"/>
  <c r="I21" i="1"/>
  <c r="K21" i="1" s="1"/>
  <c r="L21" i="1" s="1"/>
  <c r="I20" i="1"/>
  <c r="B10" i="4" s="1"/>
  <c r="F10" i="4" s="1"/>
  <c r="J19" i="1"/>
  <c r="I19" i="1"/>
  <c r="K19" i="1" s="1"/>
  <c r="L19" i="1" s="1"/>
  <c r="I18" i="1"/>
  <c r="J17" i="1"/>
  <c r="I17" i="1"/>
  <c r="B9" i="4" s="1"/>
  <c r="I16" i="1"/>
  <c r="J15" i="1"/>
  <c r="I15" i="1"/>
  <c r="K15" i="1" s="1"/>
  <c r="L15" i="1" s="1"/>
  <c r="I14" i="1"/>
  <c r="B8" i="4" s="1"/>
  <c r="F8" i="4" s="1"/>
  <c r="J13" i="1"/>
  <c r="I13" i="1"/>
  <c r="K13" i="1" s="1"/>
  <c r="L13" i="1" s="1"/>
  <c r="I12" i="1"/>
  <c r="J11" i="1"/>
  <c r="I11" i="1"/>
  <c r="B7" i="4" s="1"/>
  <c r="I10" i="1"/>
  <c r="J9" i="1"/>
  <c r="I9" i="1"/>
  <c r="K9" i="1" s="1"/>
  <c r="L9" i="1" s="1"/>
  <c r="I8" i="1"/>
  <c r="J7" i="1"/>
  <c r="I7" i="1"/>
  <c r="K7" i="1" s="1"/>
  <c r="L7" i="1" s="1"/>
  <c r="I6" i="1"/>
  <c r="B16" i="3" s="1"/>
  <c r="J5" i="1"/>
  <c r="I5" i="1"/>
  <c r="K5" i="1" s="1"/>
  <c r="I4" i="1"/>
  <c r="B15" i="3" s="1"/>
  <c r="J3" i="1"/>
  <c r="I3" i="1"/>
  <c r="K3" i="1" s="1"/>
  <c r="L3" i="1" s="1"/>
  <c r="I2" i="1"/>
  <c r="B4" i="4" s="1"/>
  <c r="F15" i="4" l="1"/>
  <c r="L30" i="1"/>
  <c r="L24" i="1"/>
  <c r="L5" i="1"/>
  <c r="L10" i="1"/>
  <c r="E15" i="3"/>
  <c r="L36" i="1"/>
  <c r="L32" i="1"/>
  <c r="E12" i="5"/>
  <c r="F12" i="5" s="1"/>
  <c r="E16" i="3"/>
  <c r="F9" i="4"/>
  <c r="E13" i="5"/>
  <c r="F13" i="5" s="1"/>
  <c r="G13" i="5" s="1"/>
  <c r="H13" i="5" s="1"/>
  <c r="L23" i="1"/>
  <c r="C11" i="4"/>
  <c r="E11" i="4" s="1"/>
  <c r="L28" i="1"/>
  <c r="F11" i="4"/>
  <c r="L29" i="1"/>
  <c r="J2" i="1"/>
  <c r="K2" i="1" s="1"/>
  <c r="J4" i="1"/>
  <c r="K4" i="1" s="1"/>
  <c r="L4" i="1" s="1"/>
  <c r="J6" i="1"/>
  <c r="K6" i="1" s="1"/>
  <c r="C5" i="4" s="1"/>
  <c r="E5" i="4" s="1"/>
  <c r="J8" i="1"/>
  <c r="K8" i="1" s="1"/>
  <c r="C6" i="4" s="1"/>
  <c r="J10" i="1"/>
  <c r="K10" i="1" s="1"/>
  <c r="J12" i="1"/>
  <c r="K12" i="1" s="1"/>
  <c r="L12" i="1" s="1"/>
  <c r="J14" i="1"/>
  <c r="K14" i="1" s="1"/>
  <c r="C8" i="4" s="1"/>
  <c r="E8" i="4" s="1"/>
  <c r="J16" i="1"/>
  <c r="K16" i="1" s="1"/>
  <c r="L16" i="1" s="1"/>
  <c r="J18" i="1"/>
  <c r="K18" i="1" s="1"/>
  <c r="L18" i="1" s="1"/>
  <c r="J20" i="1"/>
  <c r="K20" i="1" s="1"/>
  <c r="J22" i="1"/>
  <c r="K22" i="1" s="1"/>
  <c r="L22" i="1" s="1"/>
  <c r="J24" i="1"/>
  <c r="K24" i="1" s="1"/>
  <c r="J26" i="1"/>
  <c r="K26" i="1" s="1"/>
  <c r="J28" i="1"/>
  <c r="K28" i="1" s="1"/>
  <c r="J30" i="1"/>
  <c r="K30" i="1" s="1"/>
  <c r="C13" i="4" s="1"/>
  <c r="E13" i="4" s="1"/>
  <c r="J32" i="1"/>
  <c r="K32" i="1" s="1"/>
  <c r="J34" i="1"/>
  <c r="K34" i="1" s="1"/>
  <c r="L34" i="1" s="1"/>
  <c r="J36" i="1"/>
  <c r="K36" i="1" s="1"/>
  <c r="B6" i="4"/>
  <c r="F6" i="4" s="1"/>
  <c r="B14" i="4"/>
  <c r="B14" i="5"/>
  <c r="C14" i="6"/>
  <c r="L2" i="1"/>
  <c r="L14" i="1"/>
  <c r="L20" i="1"/>
  <c r="L26" i="1"/>
  <c r="B6" i="3"/>
  <c r="H8" i="3"/>
  <c r="K8" i="3" s="1"/>
  <c r="B5" i="3"/>
  <c r="B14" i="3"/>
  <c r="B5" i="4"/>
  <c r="F5" i="4" s="1"/>
  <c r="B13" i="4"/>
  <c r="F13" i="4" s="1"/>
  <c r="K11" i="1"/>
  <c r="K17" i="1"/>
  <c r="K35" i="1"/>
  <c r="H7" i="3"/>
  <c r="K7" i="3" s="1"/>
  <c r="H5" i="3"/>
  <c r="B13" i="3"/>
  <c r="D7" i="3" l="1"/>
  <c r="E14" i="6" s="1"/>
  <c r="G12" i="5"/>
  <c r="L6" i="1"/>
  <c r="D16" i="3" s="1"/>
  <c r="C4" i="4"/>
  <c r="E4" i="4" s="1"/>
  <c r="J15" i="6"/>
  <c r="J6" i="6"/>
  <c r="E13" i="3"/>
  <c r="K15" i="6" s="1"/>
  <c r="E14" i="3"/>
  <c r="C14" i="4"/>
  <c r="E14" i="4" s="1"/>
  <c r="D6" i="3"/>
  <c r="E13" i="6" s="1"/>
  <c r="C10" i="4"/>
  <c r="E10" i="4" s="1"/>
  <c r="C12" i="6"/>
  <c r="B8" i="3"/>
  <c r="E5" i="3"/>
  <c r="D13" i="3"/>
  <c r="C15" i="4"/>
  <c r="E15" i="4" s="1"/>
  <c r="L35" i="1"/>
  <c r="E6" i="3"/>
  <c r="C13" i="6"/>
  <c r="B15" i="5"/>
  <c r="D14" i="5"/>
  <c r="C12" i="4"/>
  <c r="E12" i="4" s="1"/>
  <c r="E7" i="3"/>
  <c r="L8" i="1"/>
  <c r="H6" i="6" s="1"/>
  <c r="C7" i="4"/>
  <c r="E7" i="4" s="1"/>
  <c r="L11" i="1"/>
  <c r="D14" i="3" s="1"/>
  <c r="H9" i="3"/>
  <c r="K5" i="3"/>
  <c r="L17" i="1"/>
  <c r="C9" i="4"/>
  <c r="E9" i="4" s="1"/>
  <c r="F14" i="4"/>
  <c r="E6" i="4"/>
  <c r="F7" i="4"/>
  <c r="H12" i="5" l="1"/>
  <c r="B16" i="5"/>
  <c r="D15" i="5"/>
  <c r="D6" i="6"/>
  <c r="B6" i="6"/>
  <c r="D5" i="3"/>
  <c r="E12" i="6" s="1"/>
  <c r="D15" i="3"/>
  <c r="E14" i="5"/>
  <c r="F14" i="5" s="1"/>
  <c r="G14" i="5" l="1"/>
  <c r="E15" i="5"/>
  <c r="F15" i="5" s="1"/>
  <c r="B17" i="5"/>
  <c r="D16" i="5"/>
  <c r="G15" i="5" l="1"/>
  <c r="H15" i="5" s="1"/>
  <c r="H14" i="5"/>
  <c r="F16" i="5"/>
  <c r="G16" i="5" s="1"/>
  <c r="H16" i="5" s="1"/>
  <c r="E16" i="5"/>
  <c r="D17" i="5"/>
  <c r="B18" i="5"/>
  <c r="E17" i="5" l="1"/>
  <c r="F17" i="5" s="1"/>
  <c r="D18" i="5"/>
  <c r="B19" i="5"/>
  <c r="G17" i="5" l="1"/>
  <c r="E18" i="5"/>
  <c r="F18" i="5"/>
  <c r="G18" i="5" s="1"/>
  <c r="H18" i="5" s="1"/>
  <c r="D19" i="5"/>
  <c r="B20" i="5"/>
  <c r="E19" i="5" l="1"/>
  <c r="F19" i="5" s="1"/>
  <c r="G19" i="5" s="1"/>
  <c r="D20" i="5"/>
  <c r="B21" i="5"/>
  <c r="H17" i="5"/>
  <c r="H19" i="5" l="1"/>
  <c r="D21" i="5"/>
  <c r="B22" i="5"/>
  <c r="F20" i="5"/>
  <c r="G20" i="5" s="1"/>
  <c r="H20" i="5" s="1"/>
  <c r="E20" i="5"/>
  <c r="B23" i="5" l="1"/>
  <c r="D23" i="5" s="1"/>
  <c r="D22" i="5"/>
  <c r="E21" i="5"/>
  <c r="F21" i="5" s="1"/>
  <c r="G21" i="5" s="1"/>
  <c r="H21" i="5" s="1"/>
  <c r="E22" i="5" l="1"/>
  <c r="F22" i="5" s="1"/>
  <c r="G22" i="5" s="1"/>
  <c r="H22" i="5" s="1"/>
  <c r="E23" i="5"/>
  <c r="F23" i="5" s="1"/>
  <c r="C26" i="5"/>
  <c r="G23" i="5" l="1"/>
  <c r="C27" i="5"/>
  <c r="H23" i="5" l="1"/>
  <c r="C29" i="5" s="1"/>
  <c r="C28" i="5"/>
</calcChain>
</file>

<file path=xl/sharedStrings.xml><?xml version="1.0" encoding="utf-8"?>
<sst xmlns="http://schemas.openxmlformats.org/spreadsheetml/2006/main" count="385" uniqueCount="176">
  <si>
    <t>Order ID</t>
  </si>
  <si>
    <t>Date</t>
  </si>
  <si>
    <t>Region</t>
  </si>
  <si>
    <t>Salesperson</t>
  </si>
  <si>
    <t>Product Category</t>
  </si>
  <si>
    <t>Product Name</t>
  </si>
  <si>
    <t>Units Sold</t>
  </si>
  <si>
    <t>Unit Price (BDT)</t>
  </si>
  <si>
    <t>Revenue (BDT)</t>
  </si>
  <si>
    <t>COGS (BDT)</t>
  </si>
  <si>
    <t>Gross Profit (BDT)</t>
  </si>
  <si>
    <t>Profit Margin (%)</t>
  </si>
  <si>
    <t>ORD-001</t>
  </si>
  <si>
    <t>2024-01-05</t>
  </si>
  <si>
    <t>Dhaka</t>
  </si>
  <si>
    <t>Rahim</t>
  </si>
  <si>
    <t>Electronics</t>
  </si>
  <si>
    <t>Laptop</t>
  </si>
  <si>
    <t>ORD-002</t>
  </si>
  <si>
    <t>2024-01-12</t>
  </si>
  <si>
    <t>Chittagong</t>
  </si>
  <si>
    <t>Fatima</t>
  </si>
  <si>
    <t>Smartphone</t>
  </si>
  <si>
    <t>ORD-003</t>
  </si>
  <si>
    <t>2024-01-18</t>
  </si>
  <si>
    <t>Sylhet</t>
  </si>
  <si>
    <t>Karim</t>
  </si>
  <si>
    <t>Accessories</t>
  </si>
  <si>
    <t>Headphones</t>
  </si>
  <si>
    <t>ORD-004</t>
  </si>
  <si>
    <t>2024-02-02</t>
  </si>
  <si>
    <t>Software</t>
  </si>
  <si>
    <t>Antivirus License</t>
  </si>
  <si>
    <t>ORD-005</t>
  </si>
  <si>
    <t>2024-02-14</t>
  </si>
  <si>
    <t>Rajshahi</t>
  </si>
  <si>
    <t>Nadia</t>
  </si>
  <si>
    <t>Tablet</t>
  </si>
  <si>
    <t>ORD-006</t>
  </si>
  <si>
    <t>2024-02-20</t>
  </si>
  <si>
    <t>USB Hub</t>
  </si>
  <si>
    <t>ORD-007</t>
  </si>
  <si>
    <t>2024-03-05</t>
  </si>
  <si>
    <t>Office Suite</t>
  </si>
  <si>
    <t>ORD-008</t>
  </si>
  <si>
    <t>2024-03-15</t>
  </si>
  <si>
    <t>Monitor</t>
  </si>
  <si>
    <t>ORD-009</t>
  </si>
  <si>
    <t>2024-03-22</t>
  </si>
  <si>
    <t>Keyboard</t>
  </si>
  <si>
    <t>ORD-010</t>
  </si>
  <si>
    <t>2024-04-08</t>
  </si>
  <si>
    <t>ORD-011</t>
  </si>
  <si>
    <t>2024-04-17</t>
  </si>
  <si>
    <t>ORD-012</t>
  </si>
  <si>
    <t>2024-04-25</t>
  </si>
  <si>
    <t>Mouse</t>
  </si>
  <si>
    <t>ORD-013</t>
  </si>
  <si>
    <t>2024-05-03</t>
  </si>
  <si>
    <t>ORD-014</t>
  </si>
  <si>
    <t>2024-05-19</t>
  </si>
  <si>
    <t>ORD-015</t>
  </si>
  <si>
    <t>2024-05-28</t>
  </si>
  <si>
    <t>ORD-016</t>
  </si>
  <si>
    <t>2024-06-04</t>
  </si>
  <si>
    <t>ORD-017</t>
  </si>
  <si>
    <t>2024-06-11</t>
  </si>
  <si>
    <t>ORD-018</t>
  </si>
  <si>
    <t>2024-06-20</t>
  </si>
  <si>
    <t>ORD-019</t>
  </si>
  <si>
    <t>2024-07-02</t>
  </si>
  <si>
    <t>ORD-020</t>
  </si>
  <si>
    <t>2024-07-14</t>
  </si>
  <si>
    <t>ORD-021</t>
  </si>
  <si>
    <t>2024-07-23</t>
  </si>
  <si>
    <t>ORD-022</t>
  </si>
  <si>
    <t>2024-08-05</t>
  </si>
  <si>
    <t>ORD-023</t>
  </si>
  <si>
    <t>2024-08-18</t>
  </si>
  <si>
    <t>ORD-024</t>
  </si>
  <si>
    <t>2024-08-27</t>
  </si>
  <si>
    <t>ORD-025</t>
  </si>
  <si>
    <t>2024-09-06</t>
  </si>
  <si>
    <t>ORD-026</t>
  </si>
  <si>
    <t>2024-09-15</t>
  </si>
  <si>
    <t>ORD-027</t>
  </si>
  <si>
    <t>2024-09-24</t>
  </si>
  <si>
    <t>ORD-028</t>
  </si>
  <si>
    <t>2024-10-07</t>
  </si>
  <si>
    <t>ORD-029</t>
  </si>
  <si>
    <t>2024-10-16</t>
  </si>
  <si>
    <t>ORD-030</t>
  </si>
  <si>
    <t>2024-10-25</t>
  </si>
  <si>
    <t>ORD-031</t>
  </si>
  <si>
    <t>2024-11-04</t>
  </si>
  <si>
    <t>ORD-032</t>
  </si>
  <si>
    <t>2024-11-13</t>
  </si>
  <si>
    <t>ORD-033</t>
  </si>
  <si>
    <t>2024-11-22</t>
  </si>
  <si>
    <t>ORD-034</t>
  </si>
  <si>
    <t>2024-12-03</t>
  </si>
  <si>
    <t>ORD-035</t>
  </si>
  <si>
    <t>2024-12-12</t>
  </si>
  <si>
    <t>ORD-036</t>
  </si>
  <si>
    <t>2024-12-20</t>
  </si>
  <si>
    <t>PRODUCT LOOKUP &amp; SALESPERSON PERFORMANCE TABLE</t>
  </si>
  <si>
    <t>Category</t>
  </si>
  <si>
    <t>COGS %</t>
  </si>
  <si>
    <t>Target Units/Month</t>
  </si>
  <si>
    <t>XLOOKUP / VLOOKUP DEMO</t>
  </si>
  <si>
    <t>Lookup Product:</t>
  </si>
  <si>
    <t>Category (XLOOKUP):</t>
  </si>
  <si>
    <t>Unit Price (VLOOKUP):</t>
  </si>
  <si>
    <t>COGS % (XLOOKUP):</t>
  </si>
  <si>
    <t>Target Units (HLOOKUP):</t>
  </si>
  <si>
    <t>HLOOKUP SOURCE TABLE (Horizontal Layout — Monthly Targets)</t>
  </si>
  <si>
    <t>SALES PIVOT SUMMARY — FY 2024</t>
  </si>
  <si>
    <t>Revenue by Product Category</t>
  </si>
  <si>
    <t>Revenue by Region</t>
  </si>
  <si>
    <t>Total Revenue</t>
  </si>
  <si>
    <t>Total Units</t>
  </si>
  <si>
    <t>Avg Margin</t>
  </si>
  <si>
    <t>% of Total</t>
  </si>
  <si>
    <t>Best Month</t>
  </si>
  <si>
    <t>Avg Deal Size</t>
  </si>
  <si>
    <t>See Dashboard</t>
  </si>
  <si>
    <t>TOTAL</t>
  </si>
  <si>
    <t>Salesperson Performance</t>
  </si>
  <si>
    <t>Rank</t>
  </si>
  <si>
    <t>MONTHLY REVENUE &amp; PROFIT TREND — FY 2024</t>
  </si>
  <si>
    <t>Month</t>
  </si>
  <si>
    <t>MoM Growth (%)</t>
  </si>
  <si>
    <t>Target Revenue</t>
  </si>
  <si>
    <t>Jan</t>
  </si>
  <si>
    <t>-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</si>
  <si>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</si>
  <si>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</si>
  <si>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</si>
  <si>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</si>
  <si>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</si>
  <si>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</si>
  <si>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</si>
  <si>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</si>
  <si>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</si>
  <si>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</si>
  <si>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</si>
  <si>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WHAT-IF ANALYSIS — REVENUE SCENARIO PLANNER</t>
  </si>
  <si>
    <t>INPUT ASSUMPTIONS (blue = change these)</t>
  </si>
  <si>
    <t>Base Units Sold / Month</t>
  </si>
  <si>
    <t>Average Unit Price (BDT)</t>
  </si>
  <si>
    <t>Expected Growth Rate / Month</t>
  </si>
  <si>
    <t>COGS as % of Revenue</t>
  </si>
  <si>
    <t>Target Profit Margin</t>
  </si>
  <si>
    <t>12-MONTH REVENUE PROJECTION (formula-driven from assumptions above)</t>
  </si>
  <si>
    <t>Projected Units</t>
  </si>
  <si>
    <t>Unit Price</t>
  </si>
  <si>
    <t>Revenue</t>
  </si>
  <si>
    <t>COGS</t>
  </si>
  <si>
    <t>Gross Profit</t>
  </si>
  <si>
    <t>Margin</t>
  </si>
  <si>
    <t>vs Target</t>
  </si>
  <si>
    <t>SCENARIO SUMMARY KPIs</t>
  </si>
  <si>
    <t>Total Projected Revenue (BDT)</t>
  </si>
  <si>
    <t>Total Gross Profit (BDT)</t>
  </si>
  <si>
    <t>Average Monthly Margin</t>
  </si>
  <si>
    <t>Months On Track</t>
  </si>
  <si>
    <t>SALES &amp; REVENUE ANALYSIS DASHBOARD — FY 2024</t>
  </si>
  <si>
    <t>Total Gross Profit</t>
  </si>
  <si>
    <t>Total Units Sold</t>
  </si>
  <si>
    <t>Avg Profit Margin</t>
  </si>
  <si>
    <t>Top Salesperson</t>
  </si>
  <si>
    <t>This Dashboard auto-updates from Raw Data, Pivot Summary, and Monthly Trend sheets. Refresh PivotTables (Data → Refresh All) after adding new rows to Raw Data. Use the What-If Analysis sheet to model revenue scenarios.</t>
  </si>
  <si>
    <t>Quick KPI Summary (Linked from Pivot Summary)</t>
  </si>
  <si>
    <t>Salesperson Ranking</t>
  </si>
  <si>
    <t>Units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</si>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</sst>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b/>
      <sz val="13"/>
      <color rgb="FFFFFFFF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sz val="10"/>
      <color rgb="FF000000"/>
      <name val="Arial"/>
      <charset val="1"/>
    </font>
    <font>
      <b/>
      <sz val="9"/>
      <name val="Arial"/>
      <charset val="1"/>
    </font>
    <font>
      <b/>
      <sz val="14"/>
      <color rgb="FFFFFFFF"/>
      <name val="Arial"/>
      <charset val="1"/>
    </font>
    <font>
      <b/>
      <sz val="10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6"/>
      <color rgb="FFFFFFFF"/>
      <name val="Arial"/>
      <charset val="1"/>
    </font>
    <font>
      <b/>
      <sz val="9"/>
      <color rgb="FFFFFFFF"/>
      <name val="Arial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E75B6"/>
      </patternFill>
    </fill>
    <fill>
      <patternFill patternType="solid">
        <fgColor rgb="FFF2F2F2"/>
        <bgColor rgb="FFEBF3FB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2F5496"/>
      </patternFill>
    </fill>
    <fill>
      <patternFill patternType="solid">
        <fgColor rgb="FFEBF3FB"/>
        <bgColor rgb="FFF2F2F2"/>
      </patternFill>
    </fill>
    <fill>
      <patternFill patternType="solid">
        <fgColor rgb="FFBDD7EE"/>
        <bgColor rgb="FFD6DCE4"/>
      </patternFill>
    </fill>
    <fill>
      <patternFill patternType="solid">
        <fgColor rgb="FFD6DCE4"/>
        <bgColor rgb="FFD9D9D9"/>
      </patternFill>
    </fill>
    <fill>
      <patternFill patternType="solid">
        <fgColor rgb="FFFFF2CC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6" fillId="9" borderId="0" xfId="0" applyFont="1" applyFill="1" applyAlignment="1">
      <alignment vertical="center" wrapText="1"/>
    </xf>
    <xf numFmtId="0" fontId="14" fillId="5" borderId="0" xfId="0" applyFont="1" applyFill="1" applyAlignment="1">
      <alignment horizontal="center" vertical="top" wrapText="1"/>
    </xf>
    <xf numFmtId="0" fontId="13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164" fontId="0" fillId="3" borderId="1" xfId="0" applyNumberFormat="1" applyFill="1" applyBorder="1"/>
    <xf numFmtId="3" fontId="0" fillId="3" borderId="1" xfId="0" applyNumberFormat="1" applyFill="1" applyBorder="1"/>
    <xf numFmtId="3" fontId="2" fillId="3" borderId="1" xfId="0" applyNumberFormat="1" applyFont="1" applyFill="1" applyBorder="1"/>
    <xf numFmtId="165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3" fontId="2" fillId="0" borderId="1" xfId="0" applyNumberFormat="1" applyFont="1" applyBorder="1"/>
    <xf numFmtId="165" fontId="0" fillId="0" borderId="1" xfId="0" applyNumberFormat="1" applyBorder="1"/>
    <xf numFmtId="9" fontId="0" fillId="3" borderId="1" xfId="0" applyNumberFormat="1" applyFill="1" applyBorder="1"/>
    <xf numFmtId="0" fontId="4" fillId="0" borderId="1" xfId="0" applyFont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9" fontId="0" fillId="0" borderId="1" xfId="0" applyNumberFormat="1" applyBorder="1"/>
    <xf numFmtId="0" fontId="6" fillId="0" borderId="1" xfId="0" applyFont="1" applyBorder="1"/>
    <xf numFmtId="0" fontId="7" fillId="7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3" fontId="6" fillId="0" borderId="1" xfId="0" applyNumberFormat="1" applyFont="1" applyBorder="1"/>
    <xf numFmtId="0" fontId="10" fillId="0" borderId="1" xfId="0" applyFont="1" applyBorder="1"/>
    <xf numFmtId="0" fontId="11" fillId="8" borderId="1" xfId="0" applyFont="1" applyFill="1" applyBorder="1" applyAlignment="1">
      <alignment horizontal="center" vertical="center"/>
    </xf>
    <xf numFmtId="3" fontId="4" fillId="0" borderId="1" xfId="0" applyNumberFormat="1" applyFont="1" applyBorder="1"/>
    <xf numFmtId="1" fontId="0" fillId="0" borderId="1" xfId="0" applyNumberFormat="1" applyBorder="1"/>
    <xf numFmtId="0" fontId="4" fillId="0" borderId="1" xfId="0" applyFont="1" applyBorder="1"/>
    <xf numFmtId="3" fontId="5" fillId="6" borderId="1" xfId="0" applyNumberFormat="1" applyFon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0" fontId="12" fillId="3" borderId="1" xfId="0" applyFont="1" applyFill="1" applyBorder="1"/>
    <xf numFmtId="0" fontId="12" fillId="0" borderId="1" xfId="0" applyFont="1" applyBorder="1"/>
    <xf numFmtId="3" fontId="9" fillId="0" borderId="1" xfId="0" applyNumberFormat="1" applyFont="1" applyBorder="1"/>
    <xf numFmtId="165" fontId="9" fillId="0" borderId="1" xfId="0" applyNumberFormat="1" applyFont="1" applyBorder="1"/>
    <xf numFmtId="1" fontId="9" fillId="0" borderId="1" xfId="0" applyNumberFormat="1" applyFont="1" applyBorder="1"/>
    <xf numFmtId="3" fontId="15" fillId="7" borderId="0" xfId="0" applyNumberFormat="1" applyFont="1" applyFill="1" applyAlignment="1">
      <alignment horizontal="center" vertical="center"/>
    </xf>
    <xf numFmtId="165" fontId="15" fillId="7" borderId="0" xfId="0" applyNumberFormat="1" applyFont="1" applyFill="1" applyAlignment="1">
      <alignment horizontal="center" vertical="center"/>
    </xf>
    <xf numFmtId="49" fontId="15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"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D9D9D9"/>
      <rgbColor rgb="FFD6DCE4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Revenue (BDT)</c:v>
                </c:pt>
              </c:strCache>
            </c:strRef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Trend'!$B$4:$B$15</c:f>
              <c:numCache>
                <c:formatCode>#,##0</c:formatCode>
                <c:ptCount val="12"/>
                <c:pt idx="0">
                  <c:v>1825000</c:v>
                </c:pt>
                <c:pt idx="1">
                  <c:v>996000</c:v>
                </c:pt>
                <c:pt idx="2">
                  <c:v>870000</c:v>
                </c:pt>
                <c:pt idx="3">
                  <c:v>999000</c:v>
                </c:pt>
                <c:pt idx="4">
                  <c:v>1545000</c:v>
                </c:pt>
                <c:pt idx="5">
                  <c:v>1246000</c:v>
                </c:pt>
                <c:pt idx="6">
                  <c:v>1197000</c:v>
                </c:pt>
                <c:pt idx="7">
                  <c:v>1775000</c:v>
                </c:pt>
                <c:pt idx="8">
                  <c:v>1516000</c:v>
                </c:pt>
                <c:pt idx="9">
                  <c:v>1437000</c:v>
                </c:pt>
                <c:pt idx="10">
                  <c:v>2041000</c:v>
                </c:pt>
                <c:pt idx="11">
                  <c:v>1700000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AE-497E-B9E8-C76B4967A998}"/>
            </c:ext>
          </c:extLst>
        </c:ser>
        <c:ser>
          <c:idx val="1"/>
          <c:order val="1"/>
          <c:tx>
            <c:strRef>
              <c:f>'Monthly Trend'!$G$3</c:f>
              <c:strCache>
                <c:ptCount val="1"/>
                <c:pt idx="0">
                  <c:v>Target Revenue</c:v>
                </c:pt>
              </c:strCache>
            </c:strRef>
          </c:tx>
          <c:spPr>
            <a:ln w="475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Trend'!$G$4:$G$15</c:f>
              <c:numCache>
                <c:formatCode>#,##0</c:formatCode>
                <c:ptCount val="12"/>
                <c:pt idx="0">
                  <c:v>3500000</c:v>
                </c:pt>
                <c:pt idx="1">
                  <c:v>3800000</c:v>
                </c:pt>
                <c:pt idx="2">
                  <c:v>4000000</c:v>
                </c:pt>
                <c:pt idx="3">
                  <c:v>4200000</c:v>
                </c:pt>
                <c:pt idx="4">
                  <c:v>4500000</c:v>
                </c:pt>
                <c:pt idx="5">
                  <c:v>4800000</c:v>
                </c:pt>
                <c:pt idx="6">
                  <c:v>5000000</c:v>
                </c:pt>
                <c:pt idx="7">
                  <c:v>5200000</c:v>
                </c:pt>
                <c:pt idx="8">
                  <c:v>5500000</c:v>
                </c:pt>
                <c:pt idx="9">
                  <c:v>5800000</c:v>
                </c:pt>
                <c:pt idx="10">
                  <c:v>6000000</c:v>
                </c:pt>
                <c:pt idx="11">
                  <c:v>6500000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AE-497E-B9E8-C76B4967A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769123"/>
        <c:axId val="81718499"/>
      </c:lineChart>
      <c:catAx>
        <c:axId val="517691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718499"/>
        <c:crosses val="autoZero"/>
        <c:auto val="1"/>
        <c:lblAlgn val="ctr"/>
        <c:lblOffset val="100"/>
        <c:noMultiLvlLbl val="0"/>
      </c:catAx>
      <c:valAx>
        <c:axId val="817184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BDT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7691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19</xdr:col>
      <xdr:colOff>472680</xdr:colOff>
      <xdr:row>24</xdr:row>
      <xdr:rowOff>128160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zoomScaleNormal="100" workbookViewId="0">
      <pane ySplit="1" topLeftCell="A25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3.77734375" customWidth="1"/>
    <col min="4" max="4" width="17.6640625" customWidth="1"/>
    <col min="5" max="5" width="25.88671875" customWidth="1"/>
    <col min="6" max="6" width="18" customWidth="1"/>
    <col min="7" max="7" width="15.21875" customWidth="1"/>
    <col min="8" max="8" width="18.88671875" customWidth="1"/>
    <col min="9" max="9" width="20.6640625" customWidth="1"/>
    <col min="10" max="10" width="14.88671875" customWidth="1"/>
    <col min="11" max="11" width="18.44140625" customWidth="1"/>
    <col min="12" max="12" width="23.33203125" customWidth="1"/>
  </cols>
  <sheetData>
    <row r="1" spans="1:12" ht="30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ht="15" customHeight="1" x14ac:dyDescent="0.3">
      <c r="A2" s="11" t="s">
        <v>12</v>
      </c>
      <c r="B2" s="12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3">
        <v>12</v>
      </c>
      <c r="H2" s="13">
        <v>75000</v>
      </c>
      <c r="I2" s="13">
        <f t="shared" ref="I2:I37" si="0">G2*H2</f>
        <v>900000</v>
      </c>
      <c r="J2" s="14">
        <f>I2*0.62</f>
        <v>558000</v>
      </c>
      <c r="K2" s="13">
        <f t="shared" ref="K2:K37" si="1">I2-J2</f>
        <v>342000</v>
      </c>
      <c r="L2" s="15">
        <f t="shared" ref="L2:L37" si="2">IF(I2=0,0,K2/I2)</f>
        <v>0.38</v>
      </c>
    </row>
    <row r="3" spans="1:12" ht="15" customHeight="1" x14ac:dyDescent="0.3">
      <c r="A3" s="16" t="s">
        <v>18</v>
      </c>
      <c r="B3" s="17" t="s">
        <v>19</v>
      </c>
      <c r="C3" s="16" t="s">
        <v>20</v>
      </c>
      <c r="D3" s="16" t="s">
        <v>21</v>
      </c>
      <c r="E3" s="16" t="s">
        <v>16</v>
      </c>
      <c r="F3" s="16" t="s">
        <v>22</v>
      </c>
      <c r="G3" s="18">
        <v>30</v>
      </c>
      <c r="H3" s="18">
        <v>25000</v>
      </c>
      <c r="I3" s="18">
        <f t="shared" si="0"/>
        <v>750000</v>
      </c>
      <c r="J3" s="19">
        <f>I3*0.62</f>
        <v>465000</v>
      </c>
      <c r="K3" s="18">
        <f t="shared" si="1"/>
        <v>285000</v>
      </c>
      <c r="L3" s="20">
        <f t="shared" si="2"/>
        <v>0.38</v>
      </c>
    </row>
    <row r="4" spans="1:12" ht="15" customHeight="1" x14ac:dyDescent="0.3">
      <c r="A4" s="11" t="s">
        <v>23</v>
      </c>
      <c r="B4" s="12" t="s">
        <v>24</v>
      </c>
      <c r="C4" s="11" t="s">
        <v>25</v>
      </c>
      <c r="D4" s="11" t="s">
        <v>26</v>
      </c>
      <c r="E4" s="11" t="s">
        <v>27</v>
      </c>
      <c r="F4" s="11" t="s">
        <v>28</v>
      </c>
      <c r="G4" s="13">
        <v>50</v>
      </c>
      <c r="H4" s="13">
        <v>3500</v>
      </c>
      <c r="I4" s="13">
        <f t="shared" si="0"/>
        <v>175000</v>
      </c>
      <c r="J4" s="14">
        <f>I4*0.45</f>
        <v>78750</v>
      </c>
      <c r="K4" s="13">
        <f t="shared" si="1"/>
        <v>96250</v>
      </c>
      <c r="L4" s="15">
        <f t="shared" si="2"/>
        <v>0.55000000000000004</v>
      </c>
    </row>
    <row r="5" spans="1:12" ht="15" customHeight="1" x14ac:dyDescent="0.3">
      <c r="A5" s="16" t="s">
        <v>29</v>
      </c>
      <c r="B5" s="17" t="s">
        <v>30</v>
      </c>
      <c r="C5" s="16" t="s">
        <v>14</v>
      </c>
      <c r="D5" s="16" t="s">
        <v>15</v>
      </c>
      <c r="E5" s="16" t="s">
        <v>31</v>
      </c>
      <c r="F5" s="16" t="s">
        <v>32</v>
      </c>
      <c r="G5" s="18">
        <v>80</v>
      </c>
      <c r="H5" s="18">
        <v>2200</v>
      </c>
      <c r="I5" s="18">
        <f t="shared" si="0"/>
        <v>176000</v>
      </c>
      <c r="J5" s="19">
        <f>I5*0.28</f>
        <v>49280.000000000007</v>
      </c>
      <c r="K5" s="18">
        <f t="shared" si="1"/>
        <v>126720</v>
      </c>
      <c r="L5" s="20">
        <f t="shared" si="2"/>
        <v>0.72</v>
      </c>
    </row>
    <row r="6" spans="1:12" ht="15" customHeight="1" x14ac:dyDescent="0.3">
      <c r="A6" s="11" t="s">
        <v>33</v>
      </c>
      <c r="B6" s="12" t="s">
        <v>34</v>
      </c>
      <c r="C6" s="11" t="s">
        <v>35</v>
      </c>
      <c r="D6" s="11" t="s">
        <v>36</v>
      </c>
      <c r="E6" s="11" t="s">
        <v>16</v>
      </c>
      <c r="F6" s="11" t="s">
        <v>37</v>
      </c>
      <c r="G6" s="13">
        <v>20</v>
      </c>
      <c r="H6" s="13">
        <v>35000</v>
      </c>
      <c r="I6" s="13">
        <f t="shared" si="0"/>
        <v>700000</v>
      </c>
      <c r="J6" s="14">
        <f>I6*0.62</f>
        <v>434000</v>
      </c>
      <c r="K6" s="13">
        <f t="shared" si="1"/>
        <v>266000</v>
      </c>
      <c r="L6" s="15">
        <f t="shared" si="2"/>
        <v>0.38</v>
      </c>
    </row>
    <row r="7" spans="1:12" ht="15" customHeight="1" x14ac:dyDescent="0.3">
      <c r="A7" s="16" t="s">
        <v>38</v>
      </c>
      <c r="B7" s="17" t="s">
        <v>39</v>
      </c>
      <c r="C7" s="16" t="s">
        <v>20</v>
      </c>
      <c r="D7" s="16" t="s">
        <v>21</v>
      </c>
      <c r="E7" s="16" t="s">
        <v>27</v>
      </c>
      <c r="F7" s="16" t="s">
        <v>40</v>
      </c>
      <c r="G7" s="18">
        <v>100</v>
      </c>
      <c r="H7" s="18">
        <v>1200</v>
      </c>
      <c r="I7" s="18">
        <f t="shared" si="0"/>
        <v>120000</v>
      </c>
      <c r="J7" s="19">
        <f>I7*0.45</f>
        <v>54000</v>
      </c>
      <c r="K7" s="18">
        <f t="shared" si="1"/>
        <v>66000</v>
      </c>
      <c r="L7" s="20">
        <f t="shared" si="2"/>
        <v>0.55000000000000004</v>
      </c>
    </row>
    <row r="8" spans="1:12" ht="15" customHeight="1" x14ac:dyDescent="0.3">
      <c r="A8" s="11" t="s">
        <v>41</v>
      </c>
      <c r="B8" s="12" t="s">
        <v>42</v>
      </c>
      <c r="C8" s="11" t="s">
        <v>14</v>
      </c>
      <c r="D8" s="11" t="s">
        <v>26</v>
      </c>
      <c r="E8" s="11" t="s">
        <v>31</v>
      </c>
      <c r="F8" s="11" t="s">
        <v>43</v>
      </c>
      <c r="G8" s="13">
        <v>60</v>
      </c>
      <c r="H8" s="13">
        <v>5500</v>
      </c>
      <c r="I8" s="13">
        <f t="shared" si="0"/>
        <v>330000</v>
      </c>
      <c r="J8" s="14">
        <f>I8*0.28</f>
        <v>92400.000000000015</v>
      </c>
      <c r="K8" s="13">
        <f t="shared" si="1"/>
        <v>237600</v>
      </c>
      <c r="L8" s="15">
        <f t="shared" si="2"/>
        <v>0.72</v>
      </c>
    </row>
    <row r="9" spans="1:12" ht="15" customHeight="1" x14ac:dyDescent="0.3">
      <c r="A9" s="16" t="s">
        <v>44</v>
      </c>
      <c r="B9" s="17" t="s">
        <v>45</v>
      </c>
      <c r="C9" s="16" t="s">
        <v>25</v>
      </c>
      <c r="D9" s="16" t="s">
        <v>15</v>
      </c>
      <c r="E9" s="16" t="s">
        <v>16</v>
      </c>
      <c r="F9" s="16" t="s">
        <v>46</v>
      </c>
      <c r="G9" s="18">
        <v>15</v>
      </c>
      <c r="H9" s="18">
        <v>22000</v>
      </c>
      <c r="I9" s="18">
        <f t="shared" si="0"/>
        <v>330000</v>
      </c>
      <c r="J9" s="19">
        <f>I9*0.62</f>
        <v>204600</v>
      </c>
      <c r="K9" s="18">
        <f t="shared" si="1"/>
        <v>125400</v>
      </c>
      <c r="L9" s="20">
        <f t="shared" si="2"/>
        <v>0.38</v>
      </c>
    </row>
    <row r="10" spans="1:12" ht="15" customHeight="1" x14ac:dyDescent="0.3">
      <c r="A10" s="11" t="s">
        <v>47</v>
      </c>
      <c r="B10" s="12" t="s">
        <v>48</v>
      </c>
      <c r="C10" s="11" t="s">
        <v>35</v>
      </c>
      <c r="D10" s="11" t="s">
        <v>36</v>
      </c>
      <c r="E10" s="11" t="s">
        <v>27</v>
      </c>
      <c r="F10" s="11" t="s">
        <v>49</v>
      </c>
      <c r="G10" s="13">
        <v>75</v>
      </c>
      <c r="H10" s="13">
        <v>2800</v>
      </c>
      <c r="I10" s="13">
        <f t="shared" si="0"/>
        <v>210000</v>
      </c>
      <c r="J10" s="14">
        <f>I10*0.45</f>
        <v>94500</v>
      </c>
      <c r="K10" s="13">
        <f t="shared" si="1"/>
        <v>115500</v>
      </c>
      <c r="L10" s="15">
        <f t="shared" si="2"/>
        <v>0.55000000000000004</v>
      </c>
    </row>
    <row r="11" spans="1:12" ht="15" customHeight="1" x14ac:dyDescent="0.3">
      <c r="A11" s="16" t="s">
        <v>50</v>
      </c>
      <c r="B11" s="17" t="s">
        <v>51</v>
      </c>
      <c r="C11" s="16" t="s">
        <v>14</v>
      </c>
      <c r="D11" s="16" t="s">
        <v>21</v>
      </c>
      <c r="E11" s="16" t="s">
        <v>16</v>
      </c>
      <c r="F11" s="16" t="s">
        <v>17</v>
      </c>
      <c r="G11" s="18">
        <v>8</v>
      </c>
      <c r="H11" s="18">
        <v>75000</v>
      </c>
      <c r="I11" s="18">
        <f t="shared" si="0"/>
        <v>600000</v>
      </c>
      <c r="J11" s="19">
        <f>I11*0.62</f>
        <v>372000</v>
      </c>
      <c r="K11" s="18">
        <f t="shared" si="1"/>
        <v>228000</v>
      </c>
      <c r="L11" s="20">
        <f t="shared" si="2"/>
        <v>0.38</v>
      </c>
    </row>
    <row r="12" spans="1:12" ht="15" customHeight="1" x14ac:dyDescent="0.3">
      <c r="A12" s="11" t="s">
        <v>52</v>
      </c>
      <c r="B12" s="12" t="s">
        <v>53</v>
      </c>
      <c r="C12" s="11" t="s">
        <v>20</v>
      </c>
      <c r="D12" s="11" t="s">
        <v>26</v>
      </c>
      <c r="E12" s="11" t="s">
        <v>31</v>
      </c>
      <c r="F12" s="11" t="s">
        <v>32</v>
      </c>
      <c r="G12" s="13">
        <v>120</v>
      </c>
      <c r="H12" s="13">
        <v>2200</v>
      </c>
      <c r="I12" s="13">
        <f t="shared" si="0"/>
        <v>264000</v>
      </c>
      <c r="J12" s="14">
        <f>I12*0.28</f>
        <v>73920</v>
      </c>
      <c r="K12" s="13">
        <f t="shared" si="1"/>
        <v>190080</v>
      </c>
      <c r="L12" s="15">
        <f t="shared" si="2"/>
        <v>0.72</v>
      </c>
    </row>
    <row r="13" spans="1:12" ht="15" customHeight="1" x14ac:dyDescent="0.3">
      <c r="A13" s="16" t="s">
        <v>54</v>
      </c>
      <c r="B13" s="17" t="s">
        <v>55</v>
      </c>
      <c r="C13" s="16" t="s">
        <v>25</v>
      </c>
      <c r="D13" s="16" t="s">
        <v>15</v>
      </c>
      <c r="E13" s="16" t="s">
        <v>27</v>
      </c>
      <c r="F13" s="16" t="s">
        <v>56</v>
      </c>
      <c r="G13" s="18">
        <v>90</v>
      </c>
      <c r="H13" s="18">
        <v>1500</v>
      </c>
      <c r="I13" s="18">
        <f t="shared" si="0"/>
        <v>135000</v>
      </c>
      <c r="J13" s="19">
        <f>I13*0.45</f>
        <v>60750</v>
      </c>
      <c r="K13" s="18">
        <f t="shared" si="1"/>
        <v>74250</v>
      </c>
      <c r="L13" s="20">
        <f t="shared" si="2"/>
        <v>0.55000000000000004</v>
      </c>
    </row>
    <row r="14" spans="1:12" ht="15" customHeight="1" x14ac:dyDescent="0.3">
      <c r="A14" s="11" t="s">
        <v>57</v>
      </c>
      <c r="B14" s="12" t="s">
        <v>58</v>
      </c>
      <c r="C14" s="11" t="s">
        <v>14</v>
      </c>
      <c r="D14" s="11" t="s">
        <v>36</v>
      </c>
      <c r="E14" s="11" t="s">
        <v>16</v>
      </c>
      <c r="F14" s="11" t="s">
        <v>22</v>
      </c>
      <c r="G14" s="13">
        <v>45</v>
      </c>
      <c r="H14" s="13">
        <v>25000</v>
      </c>
      <c r="I14" s="13">
        <f t="shared" si="0"/>
        <v>1125000</v>
      </c>
      <c r="J14" s="14">
        <f>I14*0.62</f>
        <v>697500</v>
      </c>
      <c r="K14" s="13">
        <f t="shared" si="1"/>
        <v>427500</v>
      </c>
      <c r="L14" s="15">
        <f t="shared" si="2"/>
        <v>0.38</v>
      </c>
    </row>
    <row r="15" spans="1:12" ht="15" customHeight="1" x14ac:dyDescent="0.3">
      <c r="A15" s="16" t="s">
        <v>59</v>
      </c>
      <c r="B15" s="17" t="s">
        <v>60</v>
      </c>
      <c r="C15" s="16" t="s">
        <v>35</v>
      </c>
      <c r="D15" s="16" t="s">
        <v>21</v>
      </c>
      <c r="E15" s="16" t="s">
        <v>31</v>
      </c>
      <c r="F15" s="16" t="s">
        <v>43</v>
      </c>
      <c r="G15" s="18">
        <v>35</v>
      </c>
      <c r="H15" s="18">
        <v>5500</v>
      </c>
      <c r="I15" s="18">
        <f t="shared" si="0"/>
        <v>192500</v>
      </c>
      <c r="J15" s="19">
        <f>I15*0.28</f>
        <v>53900.000000000007</v>
      </c>
      <c r="K15" s="18">
        <f t="shared" si="1"/>
        <v>138600</v>
      </c>
      <c r="L15" s="20">
        <f t="shared" si="2"/>
        <v>0.72</v>
      </c>
    </row>
    <row r="16" spans="1:12" ht="15" customHeight="1" x14ac:dyDescent="0.3">
      <c r="A16" s="11" t="s">
        <v>61</v>
      </c>
      <c r="B16" s="12" t="s">
        <v>62</v>
      </c>
      <c r="C16" s="11" t="s">
        <v>20</v>
      </c>
      <c r="D16" s="11" t="s">
        <v>26</v>
      </c>
      <c r="E16" s="11" t="s">
        <v>27</v>
      </c>
      <c r="F16" s="11" t="s">
        <v>28</v>
      </c>
      <c r="G16" s="13">
        <v>65</v>
      </c>
      <c r="H16" s="13">
        <v>3500</v>
      </c>
      <c r="I16" s="13">
        <f t="shared" si="0"/>
        <v>227500</v>
      </c>
      <c r="J16" s="14">
        <f>I16*0.45</f>
        <v>102375</v>
      </c>
      <c r="K16" s="13">
        <f t="shared" si="1"/>
        <v>125125</v>
      </c>
      <c r="L16" s="15">
        <f t="shared" si="2"/>
        <v>0.55000000000000004</v>
      </c>
    </row>
    <row r="17" spans="1:12" ht="15" customHeight="1" x14ac:dyDescent="0.3">
      <c r="A17" s="16" t="s">
        <v>63</v>
      </c>
      <c r="B17" s="17" t="s">
        <v>64</v>
      </c>
      <c r="C17" s="16" t="s">
        <v>14</v>
      </c>
      <c r="D17" s="16" t="s">
        <v>15</v>
      </c>
      <c r="E17" s="16" t="s">
        <v>16</v>
      </c>
      <c r="F17" s="16" t="s">
        <v>37</v>
      </c>
      <c r="G17" s="18">
        <v>18</v>
      </c>
      <c r="H17" s="18">
        <v>35000</v>
      </c>
      <c r="I17" s="18">
        <f t="shared" si="0"/>
        <v>630000</v>
      </c>
      <c r="J17" s="19">
        <f>I17*0.62</f>
        <v>390600</v>
      </c>
      <c r="K17" s="18">
        <f t="shared" si="1"/>
        <v>239400</v>
      </c>
      <c r="L17" s="20">
        <f t="shared" si="2"/>
        <v>0.38</v>
      </c>
    </row>
    <row r="18" spans="1:12" ht="15" customHeight="1" x14ac:dyDescent="0.3">
      <c r="A18" s="11" t="s">
        <v>65</v>
      </c>
      <c r="B18" s="12" t="s">
        <v>66</v>
      </c>
      <c r="C18" s="11" t="s">
        <v>25</v>
      </c>
      <c r="D18" s="11" t="s">
        <v>36</v>
      </c>
      <c r="E18" s="11" t="s">
        <v>27</v>
      </c>
      <c r="F18" s="11" t="s">
        <v>40</v>
      </c>
      <c r="G18" s="13">
        <v>110</v>
      </c>
      <c r="H18" s="13">
        <v>1200</v>
      </c>
      <c r="I18" s="13">
        <f t="shared" si="0"/>
        <v>132000</v>
      </c>
      <c r="J18" s="14">
        <f>I18*0.45</f>
        <v>59400</v>
      </c>
      <c r="K18" s="13">
        <f t="shared" si="1"/>
        <v>72600</v>
      </c>
      <c r="L18" s="15">
        <f t="shared" si="2"/>
        <v>0.55000000000000004</v>
      </c>
    </row>
    <row r="19" spans="1:12" ht="15" customHeight="1" x14ac:dyDescent="0.3">
      <c r="A19" s="16" t="s">
        <v>67</v>
      </c>
      <c r="B19" s="17" t="s">
        <v>68</v>
      </c>
      <c r="C19" s="16" t="s">
        <v>35</v>
      </c>
      <c r="D19" s="16" t="s">
        <v>21</v>
      </c>
      <c r="E19" s="16" t="s">
        <v>16</v>
      </c>
      <c r="F19" s="16" t="s">
        <v>46</v>
      </c>
      <c r="G19" s="18">
        <v>22</v>
      </c>
      <c r="H19" s="18">
        <v>22000</v>
      </c>
      <c r="I19" s="18">
        <f t="shared" si="0"/>
        <v>484000</v>
      </c>
      <c r="J19" s="19">
        <f>I19*0.62</f>
        <v>300080</v>
      </c>
      <c r="K19" s="18">
        <f t="shared" si="1"/>
        <v>183920</v>
      </c>
      <c r="L19" s="20">
        <f t="shared" si="2"/>
        <v>0.38</v>
      </c>
    </row>
    <row r="20" spans="1:12" ht="15" customHeight="1" x14ac:dyDescent="0.3">
      <c r="A20" s="11" t="s">
        <v>69</v>
      </c>
      <c r="B20" s="12" t="s">
        <v>70</v>
      </c>
      <c r="C20" s="11" t="s">
        <v>14</v>
      </c>
      <c r="D20" s="11" t="s">
        <v>26</v>
      </c>
      <c r="E20" s="11" t="s">
        <v>31</v>
      </c>
      <c r="F20" s="11" t="s">
        <v>32</v>
      </c>
      <c r="G20" s="13">
        <v>95</v>
      </c>
      <c r="H20" s="13">
        <v>2200</v>
      </c>
      <c r="I20" s="13">
        <f t="shared" si="0"/>
        <v>209000</v>
      </c>
      <c r="J20" s="14">
        <f>I20*0.28</f>
        <v>58520.000000000007</v>
      </c>
      <c r="K20" s="13">
        <f t="shared" si="1"/>
        <v>150480</v>
      </c>
      <c r="L20" s="15">
        <f t="shared" si="2"/>
        <v>0.72</v>
      </c>
    </row>
    <row r="21" spans="1:12" ht="15" customHeight="1" x14ac:dyDescent="0.3">
      <c r="A21" s="16" t="s">
        <v>71</v>
      </c>
      <c r="B21" s="17" t="s">
        <v>72</v>
      </c>
      <c r="C21" s="16" t="s">
        <v>20</v>
      </c>
      <c r="D21" s="16" t="s">
        <v>15</v>
      </c>
      <c r="E21" s="16" t="s">
        <v>16</v>
      </c>
      <c r="F21" s="16" t="s">
        <v>17</v>
      </c>
      <c r="G21" s="18">
        <v>10</v>
      </c>
      <c r="H21" s="18">
        <v>75000</v>
      </c>
      <c r="I21" s="18">
        <f t="shared" si="0"/>
        <v>750000</v>
      </c>
      <c r="J21" s="19">
        <f>I21*0.62</f>
        <v>465000</v>
      </c>
      <c r="K21" s="18">
        <f t="shared" si="1"/>
        <v>285000</v>
      </c>
      <c r="L21" s="20">
        <f t="shared" si="2"/>
        <v>0.38</v>
      </c>
    </row>
    <row r="22" spans="1:12" ht="15" customHeight="1" x14ac:dyDescent="0.3">
      <c r="A22" s="11" t="s">
        <v>73</v>
      </c>
      <c r="B22" s="12" t="s">
        <v>74</v>
      </c>
      <c r="C22" s="11" t="s">
        <v>25</v>
      </c>
      <c r="D22" s="11" t="s">
        <v>36</v>
      </c>
      <c r="E22" s="11" t="s">
        <v>27</v>
      </c>
      <c r="F22" s="11" t="s">
        <v>49</v>
      </c>
      <c r="G22" s="13">
        <v>85</v>
      </c>
      <c r="H22" s="13">
        <v>2800</v>
      </c>
      <c r="I22" s="13">
        <f t="shared" si="0"/>
        <v>238000</v>
      </c>
      <c r="J22" s="14">
        <f>I22*0.45</f>
        <v>107100</v>
      </c>
      <c r="K22" s="13">
        <f t="shared" si="1"/>
        <v>130900</v>
      </c>
      <c r="L22" s="15">
        <f t="shared" si="2"/>
        <v>0.55000000000000004</v>
      </c>
    </row>
    <row r="23" spans="1:12" ht="15" customHeight="1" x14ac:dyDescent="0.3">
      <c r="A23" s="16" t="s">
        <v>75</v>
      </c>
      <c r="B23" s="17" t="s">
        <v>76</v>
      </c>
      <c r="C23" s="16" t="s">
        <v>14</v>
      </c>
      <c r="D23" s="16" t="s">
        <v>21</v>
      </c>
      <c r="E23" s="16" t="s">
        <v>16</v>
      </c>
      <c r="F23" s="16" t="s">
        <v>22</v>
      </c>
      <c r="G23" s="18">
        <v>55</v>
      </c>
      <c r="H23" s="18">
        <v>25000</v>
      </c>
      <c r="I23" s="18">
        <f t="shared" si="0"/>
        <v>1375000</v>
      </c>
      <c r="J23" s="19">
        <f>I23*0.62</f>
        <v>852500</v>
      </c>
      <c r="K23" s="18">
        <f t="shared" si="1"/>
        <v>522500</v>
      </c>
      <c r="L23" s="20">
        <f t="shared" si="2"/>
        <v>0.38</v>
      </c>
    </row>
    <row r="24" spans="1:12" ht="15" customHeight="1" x14ac:dyDescent="0.3">
      <c r="A24" s="11" t="s">
        <v>77</v>
      </c>
      <c r="B24" s="12" t="s">
        <v>78</v>
      </c>
      <c r="C24" s="11" t="s">
        <v>35</v>
      </c>
      <c r="D24" s="11" t="s">
        <v>26</v>
      </c>
      <c r="E24" s="11" t="s">
        <v>31</v>
      </c>
      <c r="F24" s="11" t="s">
        <v>43</v>
      </c>
      <c r="G24" s="13">
        <v>40</v>
      </c>
      <c r="H24" s="13">
        <v>5500</v>
      </c>
      <c r="I24" s="13">
        <f t="shared" si="0"/>
        <v>220000</v>
      </c>
      <c r="J24" s="14">
        <f>I24*0.28</f>
        <v>61600.000000000007</v>
      </c>
      <c r="K24" s="13">
        <f t="shared" si="1"/>
        <v>158400</v>
      </c>
      <c r="L24" s="15">
        <f t="shared" si="2"/>
        <v>0.72</v>
      </c>
    </row>
    <row r="25" spans="1:12" ht="15" customHeight="1" x14ac:dyDescent="0.3">
      <c r="A25" s="16" t="s">
        <v>79</v>
      </c>
      <c r="B25" s="17" t="s">
        <v>80</v>
      </c>
      <c r="C25" s="16" t="s">
        <v>20</v>
      </c>
      <c r="D25" s="16" t="s">
        <v>15</v>
      </c>
      <c r="E25" s="16" t="s">
        <v>27</v>
      </c>
      <c r="F25" s="16" t="s">
        <v>56</v>
      </c>
      <c r="G25" s="18">
        <v>120</v>
      </c>
      <c r="H25" s="18">
        <v>1500</v>
      </c>
      <c r="I25" s="18">
        <f t="shared" si="0"/>
        <v>180000</v>
      </c>
      <c r="J25" s="19">
        <f>I25*0.45</f>
        <v>81000</v>
      </c>
      <c r="K25" s="18">
        <f t="shared" si="1"/>
        <v>99000</v>
      </c>
      <c r="L25" s="20">
        <f t="shared" si="2"/>
        <v>0.55000000000000004</v>
      </c>
    </row>
    <row r="26" spans="1:12" ht="15" customHeight="1" x14ac:dyDescent="0.3">
      <c r="A26" s="11" t="s">
        <v>81</v>
      </c>
      <c r="B26" s="12" t="s">
        <v>82</v>
      </c>
      <c r="C26" s="11" t="s">
        <v>14</v>
      </c>
      <c r="D26" s="11" t="s">
        <v>36</v>
      </c>
      <c r="E26" s="11" t="s">
        <v>16</v>
      </c>
      <c r="F26" s="11" t="s">
        <v>37</v>
      </c>
      <c r="G26" s="13">
        <v>25</v>
      </c>
      <c r="H26" s="13">
        <v>35000</v>
      </c>
      <c r="I26" s="13">
        <f t="shared" si="0"/>
        <v>875000</v>
      </c>
      <c r="J26" s="14">
        <f>I26*0.62</f>
        <v>542500</v>
      </c>
      <c r="K26" s="13">
        <f t="shared" si="1"/>
        <v>332500</v>
      </c>
      <c r="L26" s="15">
        <f t="shared" si="2"/>
        <v>0.38</v>
      </c>
    </row>
    <row r="27" spans="1:12" ht="15" customHeight="1" x14ac:dyDescent="0.3">
      <c r="A27" s="16" t="s">
        <v>83</v>
      </c>
      <c r="B27" s="17" t="s">
        <v>84</v>
      </c>
      <c r="C27" s="16" t="s">
        <v>25</v>
      </c>
      <c r="D27" s="16" t="s">
        <v>21</v>
      </c>
      <c r="E27" s="16" t="s">
        <v>16</v>
      </c>
      <c r="F27" s="16" t="s">
        <v>46</v>
      </c>
      <c r="G27" s="18">
        <v>18</v>
      </c>
      <c r="H27" s="18">
        <v>22000</v>
      </c>
      <c r="I27" s="18">
        <f t="shared" si="0"/>
        <v>396000</v>
      </c>
      <c r="J27" s="19">
        <f>I27*0.62</f>
        <v>245520</v>
      </c>
      <c r="K27" s="18">
        <f t="shared" si="1"/>
        <v>150480</v>
      </c>
      <c r="L27" s="20">
        <f t="shared" si="2"/>
        <v>0.38</v>
      </c>
    </row>
    <row r="28" spans="1:12" ht="15" customHeight="1" x14ac:dyDescent="0.3">
      <c r="A28" s="11" t="s">
        <v>85</v>
      </c>
      <c r="B28" s="12" t="s">
        <v>86</v>
      </c>
      <c r="C28" s="11" t="s">
        <v>35</v>
      </c>
      <c r="D28" s="11" t="s">
        <v>26</v>
      </c>
      <c r="E28" s="11" t="s">
        <v>27</v>
      </c>
      <c r="F28" s="11" t="s">
        <v>28</v>
      </c>
      <c r="G28" s="13">
        <v>70</v>
      </c>
      <c r="H28" s="13">
        <v>3500</v>
      </c>
      <c r="I28" s="13">
        <f t="shared" si="0"/>
        <v>245000</v>
      </c>
      <c r="J28" s="14">
        <f>I28*0.45</f>
        <v>110250</v>
      </c>
      <c r="K28" s="13">
        <f t="shared" si="1"/>
        <v>134750</v>
      </c>
      <c r="L28" s="15">
        <f t="shared" si="2"/>
        <v>0.55000000000000004</v>
      </c>
    </row>
    <row r="29" spans="1:12" ht="15" customHeight="1" x14ac:dyDescent="0.3">
      <c r="A29" s="16" t="s">
        <v>87</v>
      </c>
      <c r="B29" s="17" t="s">
        <v>88</v>
      </c>
      <c r="C29" s="16" t="s">
        <v>14</v>
      </c>
      <c r="D29" s="16" t="s">
        <v>15</v>
      </c>
      <c r="E29" s="16" t="s">
        <v>31</v>
      </c>
      <c r="F29" s="16" t="s">
        <v>32</v>
      </c>
      <c r="G29" s="18">
        <v>105</v>
      </c>
      <c r="H29" s="18">
        <v>2200</v>
      </c>
      <c r="I29" s="18">
        <f t="shared" si="0"/>
        <v>231000</v>
      </c>
      <c r="J29" s="19">
        <f>I29*0.28</f>
        <v>64680.000000000007</v>
      </c>
      <c r="K29" s="18">
        <f t="shared" si="1"/>
        <v>166320</v>
      </c>
      <c r="L29" s="20">
        <f t="shared" si="2"/>
        <v>0.72</v>
      </c>
    </row>
    <row r="30" spans="1:12" ht="15" customHeight="1" x14ac:dyDescent="0.3">
      <c r="A30" s="11" t="s">
        <v>89</v>
      </c>
      <c r="B30" s="12" t="s">
        <v>90</v>
      </c>
      <c r="C30" s="11" t="s">
        <v>20</v>
      </c>
      <c r="D30" s="11" t="s">
        <v>36</v>
      </c>
      <c r="E30" s="11" t="s">
        <v>16</v>
      </c>
      <c r="F30" s="11" t="s">
        <v>17</v>
      </c>
      <c r="G30" s="13">
        <v>14</v>
      </c>
      <c r="H30" s="13">
        <v>75000</v>
      </c>
      <c r="I30" s="13">
        <f t="shared" si="0"/>
        <v>1050000</v>
      </c>
      <c r="J30" s="14">
        <f>I30*0.62</f>
        <v>651000</v>
      </c>
      <c r="K30" s="13">
        <f t="shared" si="1"/>
        <v>399000</v>
      </c>
      <c r="L30" s="15">
        <f t="shared" si="2"/>
        <v>0.38</v>
      </c>
    </row>
    <row r="31" spans="1:12" ht="15" customHeight="1" x14ac:dyDescent="0.3">
      <c r="A31" s="16" t="s">
        <v>91</v>
      </c>
      <c r="B31" s="17" t="s">
        <v>92</v>
      </c>
      <c r="C31" s="16" t="s">
        <v>25</v>
      </c>
      <c r="D31" s="16" t="s">
        <v>21</v>
      </c>
      <c r="E31" s="16" t="s">
        <v>27</v>
      </c>
      <c r="F31" s="16" t="s">
        <v>40</v>
      </c>
      <c r="G31" s="18">
        <v>130</v>
      </c>
      <c r="H31" s="18">
        <v>1200</v>
      </c>
      <c r="I31" s="18">
        <f t="shared" si="0"/>
        <v>156000</v>
      </c>
      <c r="J31" s="19">
        <f>I31*0.45</f>
        <v>70200</v>
      </c>
      <c r="K31" s="18">
        <f t="shared" si="1"/>
        <v>85800</v>
      </c>
      <c r="L31" s="20">
        <f t="shared" si="2"/>
        <v>0.55000000000000004</v>
      </c>
    </row>
    <row r="32" spans="1:12" ht="15" customHeight="1" x14ac:dyDescent="0.3">
      <c r="A32" s="11" t="s">
        <v>93</v>
      </c>
      <c r="B32" s="12" t="s">
        <v>94</v>
      </c>
      <c r="C32" s="11" t="s">
        <v>14</v>
      </c>
      <c r="D32" s="11" t="s">
        <v>26</v>
      </c>
      <c r="E32" s="11" t="s">
        <v>16</v>
      </c>
      <c r="F32" s="11" t="s">
        <v>22</v>
      </c>
      <c r="G32" s="13">
        <v>60</v>
      </c>
      <c r="H32" s="13">
        <v>25000</v>
      </c>
      <c r="I32" s="13">
        <f t="shared" si="0"/>
        <v>1500000</v>
      </c>
      <c r="J32" s="14">
        <f>I32*0.62</f>
        <v>930000</v>
      </c>
      <c r="K32" s="13">
        <f t="shared" si="1"/>
        <v>570000</v>
      </c>
      <c r="L32" s="15">
        <f t="shared" si="2"/>
        <v>0.38</v>
      </c>
    </row>
    <row r="33" spans="1:12" ht="15" customHeight="1" x14ac:dyDescent="0.3">
      <c r="A33" s="16" t="s">
        <v>95</v>
      </c>
      <c r="B33" s="17" t="s">
        <v>96</v>
      </c>
      <c r="C33" s="16" t="s">
        <v>35</v>
      </c>
      <c r="D33" s="16" t="s">
        <v>15</v>
      </c>
      <c r="E33" s="16" t="s">
        <v>31</v>
      </c>
      <c r="F33" s="16" t="s">
        <v>43</v>
      </c>
      <c r="G33" s="18">
        <v>50</v>
      </c>
      <c r="H33" s="18">
        <v>5500</v>
      </c>
      <c r="I33" s="18">
        <f t="shared" si="0"/>
        <v>275000</v>
      </c>
      <c r="J33" s="19">
        <f>I33*0.28</f>
        <v>77000.000000000015</v>
      </c>
      <c r="K33" s="18">
        <f t="shared" si="1"/>
        <v>198000</v>
      </c>
      <c r="L33" s="20">
        <f t="shared" si="2"/>
        <v>0.72</v>
      </c>
    </row>
    <row r="34" spans="1:12" ht="15" customHeight="1" x14ac:dyDescent="0.3">
      <c r="A34" s="11" t="s">
        <v>97</v>
      </c>
      <c r="B34" s="12" t="s">
        <v>98</v>
      </c>
      <c r="C34" s="11" t="s">
        <v>20</v>
      </c>
      <c r="D34" s="11" t="s">
        <v>36</v>
      </c>
      <c r="E34" s="11" t="s">
        <v>27</v>
      </c>
      <c r="F34" s="11" t="s">
        <v>49</v>
      </c>
      <c r="G34" s="13">
        <v>95</v>
      </c>
      <c r="H34" s="13">
        <v>2800</v>
      </c>
      <c r="I34" s="13">
        <f t="shared" si="0"/>
        <v>266000</v>
      </c>
      <c r="J34" s="14">
        <f>I34*0.45</f>
        <v>119700</v>
      </c>
      <c r="K34" s="13">
        <f t="shared" si="1"/>
        <v>146300</v>
      </c>
      <c r="L34" s="15">
        <f t="shared" si="2"/>
        <v>0.55000000000000004</v>
      </c>
    </row>
    <row r="35" spans="1:12" ht="15" customHeight="1" x14ac:dyDescent="0.3">
      <c r="A35" s="16" t="s">
        <v>99</v>
      </c>
      <c r="B35" s="17" t="s">
        <v>100</v>
      </c>
      <c r="C35" s="16" t="s">
        <v>14</v>
      </c>
      <c r="D35" s="16" t="s">
        <v>21</v>
      </c>
      <c r="E35" s="16" t="s">
        <v>16</v>
      </c>
      <c r="F35" s="16" t="s">
        <v>37</v>
      </c>
      <c r="G35" s="18">
        <v>30</v>
      </c>
      <c r="H35" s="18">
        <v>35000</v>
      </c>
      <c r="I35" s="18">
        <f t="shared" si="0"/>
        <v>1050000</v>
      </c>
      <c r="J35" s="19">
        <f>I35*0.62</f>
        <v>651000</v>
      </c>
      <c r="K35" s="18">
        <f t="shared" si="1"/>
        <v>399000</v>
      </c>
      <c r="L35" s="20">
        <f t="shared" si="2"/>
        <v>0.38</v>
      </c>
    </row>
    <row r="36" spans="1:12" ht="15" customHeight="1" x14ac:dyDescent="0.3">
      <c r="A36" s="11" t="s">
        <v>101</v>
      </c>
      <c r="B36" s="12" t="s">
        <v>102</v>
      </c>
      <c r="C36" s="11" t="s">
        <v>25</v>
      </c>
      <c r="D36" s="11" t="s">
        <v>26</v>
      </c>
      <c r="E36" s="11" t="s">
        <v>16</v>
      </c>
      <c r="F36" s="11" t="s">
        <v>46</v>
      </c>
      <c r="G36" s="13">
        <v>20</v>
      </c>
      <c r="H36" s="13">
        <v>22000</v>
      </c>
      <c r="I36" s="13">
        <f t="shared" si="0"/>
        <v>440000</v>
      </c>
      <c r="J36" s="14">
        <f>I36*0.62</f>
        <v>272800</v>
      </c>
      <c r="K36" s="13">
        <f t="shared" si="1"/>
        <v>167200</v>
      </c>
      <c r="L36" s="15">
        <f t="shared" si="2"/>
        <v>0.38</v>
      </c>
    </row>
    <row r="37" spans="1:12" ht="15" customHeight="1" x14ac:dyDescent="0.3">
      <c r="A37" s="16" t="s">
        <v>103</v>
      </c>
      <c r="B37" s="17" t="s">
        <v>104</v>
      </c>
      <c r="C37" s="16" t="s">
        <v>35</v>
      </c>
      <c r="D37" s="16" t="s">
        <v>15</v>
      </c>
      <c r="E37" s="16" t="s">
        <v>27</v>
      </c>
      <c r="F37" s="16" t="s">
        <v>56</v>
      </c>
      <c r="G37" s="18">
        <v>140</v>
      </c>
      <c r="H37" s="18">
        <v>1500</v>
      </c>
      <c r="I37" s="18">
        <f t="shared" si="0"/>
        <v>210000</v>
      </c>
      <c r="J37" s="19">
        <f>I37*0.45</f>
        <v>94500</v>
      </c>
      <c r="K37" s="18">
        <f t="shared" si="1"/>
        <v>115500</v>
      </c>
      <c r="L37" s="20">
        <f t="shared" si="2"/>
        <v>0.55000000000000004</v>
      </c>
    </row>
  </sheetData>
  <conditionalFormatting sqref="L2:L37">
    <cfRule type="colorScale" priority="2">
      <colorScale>
        <cfvo type="min"/>
        <cfvo type="percentile" val="50"/>
        <cfvo type="max"/>
        <color rgb="FFFF9999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zoomScaleNormal="100" workbookViewId="0">
      <selection sqref="A1:J1"/>
    </sheetView>
  </sheetViews>
  <sheetFormatPr defaultColWidth="8.6640625" defaultRowHeight="14.4" x14ac:dyDescent="0.3"/>
  <cols>
    <col min="1" max="10" width="18" customWidth="1"/>
  </cols>
  <sheetData>
    <row r="1" spans="1:10" ht="36" customHeight="1" x14ac:dyDescent="0.3">
      <c r="A1" s="9" t="s">
        <v>105</v>
      </c>
      <c r="B1" s="9"/>
      <c r="C1" s="9"/>
      <c r="D1" s="9"/>
      <c r="E1" s="9"/>
      <c r="F1" s="9"/>
      <c r="G1" s="9"/>
      <c r="H1" s="9"/>
      <c r="I1" s="9"/>
      <c r="J1" s="9"/>
    </row>
    <row r="3" spans="1:10" ht="15" customHeight="1" x14ac:dyDescent="0.3">
      <c r="A3" s="10" t="s">
        <v>5</v>
      </c>
      <c r="B3" s="10" t="s">
        <v>106</v>
      </c>
      <c r="C3" s="10" t="s">
        <v>7</v>
      </c>
      <c r="D3" s="10" t="s">
        <v>107</v>
      </c>
      <c r="E3" s="10" t="s">
        <v>108</v>
      </c>
      <c r="G3" s="8" t="s">
        <v>109</v>
      </c>
      <c r="H3" s="8"/>
      <c r="I3" s="8"/>
      <c r="J3" s="8"/>
    </row>
    <row r="4" spans="1:10" ht="15" customHeight="1" x14ac:dyDescent="0.3">
      <c r="A4" s="11" t="s">
        <v>17</v>
      </c>
      <c r="B4" s="11" t="s">
        <v>16</v>
      </c>
      <c r="C4" s="13">
        <v>75000</v>
      </c>
      <c r="D4" s="21">
        <v>0.62</v>
      </c>
      <c r="E4" s="13">
        <v>10</v>
      </c>
      <c r="G4" s="22" t="s">
        <v>110</v>
      </c>
      <c r="H4" s="16"/>
      <c r="I4" s="23" t="s">
        <v>22</v>
      </c>
      <c r="J4" s="16"/>
    </row>
    <row r="5" spans="1:10" ht="15" customHeight="1" x14ac:dyDescent="0.3">
      <c r="A5" s="16" t="s">
        <v>22</v>
      </c>
      <c r="B5" s="16" t="s">
        <v>16</v>
      </c>
      <c r="C5" s="18">
        <v>25000</v>
      </c>
      <c r="D5" s="24">
        <v>0.62</v>
      </c>
      <c r="E5" s="18">
        <v>40</v>
      </c>
      <c r="G5" s="22" t="s">
        <v>111</v>
      </c>
      <c r="H5" s="16"/>
      <c r="I5" s="25" t="str">
        <f>IFERROR(INDEX(B4:B13,MATCH(I4,A4:A13,0)),"Not Found")</f>
        <v>Electronics</v>
      </c>
      <c r="J5" s="16"/>
    </row>
    <row r="6" spans="1:10" ht="15" customHeight="1" x14ac:dyDescent="0.3">
      <c r="A6" s="11" t="s">
        <v>37</v>
      </c>
      <c r="B6" s="11" t="s">
        <v>16</v>
      </c>
      <c r="C6" s="13">
        <v>35000</v>
      </c>
      <c r="D6" s="21">
        <v>0.62</v>
      </c>
      <c r="E6" s="13">
        <v>20</v>
      </c>
      <c r="G6" s="22" t="s">
        <v>112</v>
      </c>
      <c r="H6" s="16"/>
      <c r="I6" s="18">
        <f>VLOOKUP(I4,A4:C13,3,FALSE())</f>
        <v>25000</v>
      </c>
      <c r="J6" s="16"/>
    </row>
    <row r="7" spans="1:10" ht="15" customHeight="1" x14ac:dyDescent="0.3">
      <c r="A7" s="16" t="s">
        <v>46</v>
      </c>
      <c r="B7" s="16" t="s">
        <v>16</v>
      </c>
      <c r="C7" s="18">
        <v>22000</v>
      </c>
      <c r="D7" s="24">
        <v>0.62</v>
      </c>
      <c r="E7" s="18">
        <v>15</v>
      </c>
      <c r="G7" s="22" t="s">
        <v>113</v>
      </c>
      <c r="H7" s="16"/>
      <c r="I7" s="24">
        <f>IFERROR(INDEX(D4:D13,MATCH(I4,A4:A13,0)),"Not Found")</f>
        <v>0.62</v>
      </c>
      <c r="J7" s="16"/>
    </row>
    <row r="8" spans="1:10" ht="15" customHeight="1" x14ac:dyDescent="0.3">
      <c r="A8" s="11" t="s">
        <v>28</v>
      </c>
      <c r="B8" s="11" t="s">
        <v>27</v>
      </c>
      <c r="C8" s="13">
        <v>3500</v>
      </c>
      <c r="D8" s="21">
        <v>0.45</v>
      </c>
      <c r="E8" s="13">
        <v>60</v>
      </c>
      <c r="G8" s="22" t="s">
        <v>114</v>
      </c>
      <c r="H8" s="16"/>
      <c r="I8" s="18">
        <f>HLOOKUP(I4,A16:J17,2,FALSE())</f>
        <v>40</v>
      </c>
      <c r="J8" s="16"/>
    </row>
    <row r="9" spans="1:10" ht="15" customHeight="1" x14ac:dyDescent="0.3">
      <c r="A9" s="16" t="s">
        <v>40</v>
      </c>
      <c r="B9" s="16" t="s">
        <v>27</v>
      </c>
      <c r="C9" s="18">
        <v>1200</v>
      </c>
      <c r="D9" s="24">
        <v>0.45</v>
      </c>
      <c r="E9" s="18">
        <v>100</v>
      </c>
    </row>
    <row r="10" spans="1:10" ht="15" customHeight="1" x14ac:dyDescent="0.3">
      <c r="A10" s="11" t="s">
        <v>49</v>
      </c>
      <c r="B10" s="11" t="s">
        <v>27</v>
      </c>
      <c r="C10" s="13">
        <v>2800</v>
      </c>
      <c r="D10" s="21">
        <v>0.45</v>
      </c>
      <c r="E10" s="13">
        <v>80</v>
      </c>
    </row>
    <row r="11" spans="1:10" ht="15" customHeight="1" x14ac:dyDescent="0.3">
      <c r="A11" s="16" t="s">
        <v>56</v>
      </c>
      <c r="B11" s="16" t="s">
        <v>27</v>
      </c>
      <c r="C11" s="18">
        <v>1500</v>
      </c>
      <c r="D11" s="24">
        <v>0.45</v>
      </c>
      <c r="E11" s="18">
        <v>90</v>
      </c>
    </row>
    <row r="12" spans="1:10" ht="15" customHeight="1" x14ac:dyDescent="0.3">
      <c r="A12" s="11" t="s">
        <v>32</v>
      </c>
      <c r="B12" s="11" t="s">
        <v>31</v>
      </c>
      <c r="C12" s="13">
        <v>2200</v>
      </c>
      <c r="D12" s="21">
        <v>0.28000000000000003</v>
      </c>
      <c r="E12" s="13">
        <v>100</v>
      </c>
    </row>
    <row r="13" spans="1:10" ht="15" customHeight="1" x14ac:dyDescent="0.3">
      <c r="A13" s="16" t="s">
        <v>43</v>
      </c>
      <c r="B13" s="16" t="s">
        <v>31</v>
      </c>
      <c r="C13" s="18">
        <v>5500</v>
      </c>
      <c r="D13" s="24">
        <v>0.28000000000000003</v>
      </c>
      <c r="E13" s="18">
        <v>50</v>
      </c>
    </row>
    <row r="15" spans="1:10" ht="15" customHeight="1" x14ac:dyDescent="0.3">
      <c r="A15" s="7" t="s">
        <v>115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" customHeight="1" x14ac:dyDescent="0.3">
      <c r="A16" s="26" t="s">
        <v>17</v>
      </c>
      <c r="B16" s="26" t="s">
        <v>22</v>
      </c>
      <c r="C16" s="26" t="s">
        <v>37</v>
      </c>
      <c r="D16" s="26" t="s">
        <v>46</v>
      </c>
      <c r="E16" s="26" t="s">
        <v>28</v>
      </c>
      <c r="F16" s="26" t="s">
        <v>40</v>
      </c>
      <c r="G16" s="26" t="s">
        <v>49</v>
      </c>
      <c r="H16" s="26" t="s">
        <v>56</v>
      </c>
      <c r="I16" s="26" t="s">
        <v>32</v>
      </c>
      <c r="J16" s="26" t="s">
        <v>43</v>
      </c>
    </row>
    <row r="17" spans="1:10" ht="15" customHeight="1" x14ac:dyDescent="0.3">
      <c r="A17" s="27">
        <v>10</v>
      </c>
      <c r="B17" s="27">
        <v>40</v>
      </c>
      <c r="C17" s="27">
        <v>20</v>
      </c>
      <c r="D17" s="27">
        <v>15</v>
      </c>
      <c r="E17" s="27">
        <v>60</v>
      </c>
      <c r="F17" s="27">
        <v>100</v>
      </c>
      <c r="G17" s="27">
        <v>80</v>
      </c>
      <c r="H17" s="27">
        <v>90</v>
      </c>
      <c r="I17" s="27">
        <v>100</v>
      </c>
      <c r="J17" s="27">
        <v>50</v>
      </c>
    </row>
  </sheetData>
  <mergeCells count="3">
    <mergeCell ref="A1:J1"/>
    <mergeCell ref="G3:J3"/>
    <mergeCell ref="A15:J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showGridLines="0" zoomScaleNormal="100" workbookViewId="0">
      <selection sqref="A1:L1"/>
    </sheetView>
  </sheetViews>
  <sheetFormatPr defaultColWidth="8.6640625" defaultRowHeight="14.4" x14ac:dyDescent="0.3"/>
  <cols>
    <col min="1" max="12" width="18" customWidth="1"/>
  </cols>
  <sheetData>
    <row r="1" spans="1:12" ht="36" customHeight="1" x14ac:dyDescent="0.3">
      <c r="A1" s="6" t="s">
        <v>116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5" customHeight="1" x14ac:dyDescent="0.3">
      <c r="A3" s="5" t="s">
        <v>117</v>
      </c>
      <c r="B3" s="5"/>
      <c r="C3" s="5"/>
      <c r="D3" s="5"/>
      <c r="E3" s="5"/>
      <c r="G3" s="5" t="s">
        <v>118</v>
      </c>
      <c r="H3" s="5"/>
      <c r="I3" s="5"/>
      <c r="J3" s="5"/>
      <c r="K3" s="5"/>
    </row>
    <row r="4" spans="1:12" ht="15" customHeight="1" x14ac:dyDescent="0.3">
      <c r="A4" s="28" t="s">
        <v>106</v>
      </c>
      <c r="B4" s="28" t="s">
        <v>119</v>
      </c>
      <c r="C4" s="28" t="s">
        <v>120</v>
      </c>
      <c r="D4" s="28" t="s">
        <v>121</v>
      </c>
      <c r="E4" s="28" t="s">
        <v>122</v>
      </c>
      <c r="G4" s="28" t="s">
        <v>2</v>
      </c>
      <c r="H4" s="28" t="s">
        <v>119</v>
      </c>
      <c r="I4" s="28" t="s">
        <v>120</v>
      </c>
      <c r="J4" s="28" t="s">
        <v>123</v>
      </c>
      <c r="K4" s="28" t="s">
        <v>124</v>
      </c>
    </row>
    <row r="5" spans="1:12" ht="15" customHeight="1" x14ac:dyDescent="0.3">
      <c r="A5" s="16" t="s">
        <v>16</v>
      </c>
      <c r="B5" s="29">
        <f>'Raw Data'!I2+'Raw Data'!I3+'Raw Data'!I6+'Raw Data'!I9+'Raw Data'!I11+'Raw Data'!I14+'Raw Data'!I17+'Raw Data'!I19+'Raw Data'!I21+'Raw Data'!I23+'Raw Data'!I26+'Raw Data'!I27+'Raw Data'!I30+'Raw Data'!I32+'Raw Data'!I35+'Raw Data'!I36</f>
        <v>12955000</v>
      </c>
      <c r="C5" s="18">
        <f>'Raw Data'!G2+'Raw Data'!G3+'Raw Data'!G6+'Raw Data'!G9+'Raw Data'!G11+'Raw Data'!G14+'Raw Data'!G17+'Raw Data'!G19+'Raw Data'!G21+'Raw Data'!G23+'Raw Data'!G26+'Raw Data'!G27+'Raw Data'!G30+'Raw Data'!G32+'Raw Data'!G35+'Raw Data'!G36</f>
        <v>402</v>
      </c>
      <c r="D5" s="20">
        <f>AVERAGEIF('Raw Data'!E2:E37,A5,'Raw Data'!L2:L37)</f>
        <v>0.37999999999999995</v>
      </c>
      <c r="E5" s="20">
        <f>B5/SUM(B5:B7)</f>
        <v>0.75552574794424676</v>
      </c>
      <c r="G5" s="16" t="s">
        <v>14</v>
      </c>
      <c r="H5" s="18">
        <f>SUMIF('Raw Data'!C2:C37,G5,'Raw Data'!I2:I37)</f>
        <v>9001000</v>
      </c>
      <c r="I5" s="18">
        <f>SUMIF('Raw Data'!C2:C37,G5,'Raw Data'!G2:G37)</f>
        <v>593</v>
      </c>
      <c r="J5" s="30" t="s">
        <v>125</v>
      </c>
      <c r="K5" s="18">
        <f>IFERROR(H5/I5,0)</f>
        <v>15178.7521079258</v>
      </c>
    </row>
    <row r="6" spans="1:12" ht="15" customHeight="1" x14ac:dyDescent="0.3">
      <c r="A6" s="16" t="s">
        <v>31</v>
      </c>
      <c r="B6" s="29">
        <f>'Raw Data'!I5+'Raw Data'!I8+'Raw Data'!I12+'Raw Data'!I15+'Raw Data'!I20+'Raw Data'!I24+'Raw Data'!I29+'Raw Data'!I33</f>
        <v>1897500</v>
      </c>
      <c r="C6" s="18">
        <f>'Raw Data'!G5+'Raw Data'!G8+'Raw Data'!G12+'Raw Data'!G15+'Raw Data'!G20+'Raw Data'!G24+'Raw Data'!G29+'Raw Data'!G33</f>
        <v>585</v>
      </c>
      <c r="D6" s="20">
        <f>AVERAGEIF('Raw Data'!E2:E37,A6,'Raw Data'!L2:L37)</f>
        <v>0.71999999999999986</v>
      </c>
      <c r="E6" s="20">
        <f>B6/SUM(B5:B7)</f>
        <v>0.11066075698372893</v>
      </c>
      <c r="G6" s="16" t="s">
        <v>20</v>
      </c>
      <c r="H6" s="18">
        <f>SUMIF('Raw Data'!C2:C37,G6,'Raw Data'!I2:I37)</f>
        <v>3607500</v>
      </c>
      <c r="I6" s="18">
        <f>SUMIF('Raw Data'!C2:C37,G6,'Raw Data'!G2:G37)</f>
        <v>554</v>
      </c>
      <c r="J6" s="30" t="s">
        <v>125</v>
      </c>
      <c r="K6" s="18">
        <f>IFERROR(H6/I6,0)</f>
        <v>6511.7328519855591</v>
      </c>
    </row>
    <row r="7" spans="1:12" ht="15" customHeight="1" x14ac:dyDescent="0.3">
      <c r="A7" s="16" t="s">
        <v>27</v>
      </c>
      <c r="B7" s="29">
        <f>'Raw Data'!I4+'Raw Data'!I7+'Raw Data'!I10+'Raw Data'!I13+'Raw Data'!I16+'Raw Data'!I18+'Raw Data'!I22+'Raw Data'!I25+'Raw Data'!I28+'Raw Data'!I31+'Raw Data'!I34+'Raw Data'!I37</f>
        <v>2294500</v>
      </c>
      <c r="C7" s="18">
        <f>'Raw Data'!G4+'Raw Data'!G7+'Raw Data'!G10+'Raw Data'!G13+'Raw Data'!G16+'Raw Data'!G18+'Raw Data'!G22+'Raw Data'!G25+'Raw Data'!G28+'Raw Data'!G31+'Raw Data'!G34+'Raw Data'!G37</f>
        <v>1130</v>
      </c>
      <c r="D7" s="20">
        <f>AVERAGEIF('Raw Data'!E2:E37,A7,'Raw Data'!L2:L37)</f>
        <v>0.54999999999999993</v>
      </c>
      <c r="E7" s="20">
        <f>B7/SUM(B5:B7)</f>
        <v>0.13381349507202425</v>
      </c>
      <c r="G7" s="16" t="s">
        <v>25</v>
      </c>
      <c r="H7" s="18">
        <f>SUMIF('Raw Data'!C2:C37,G7,'Raw Data'!I2:I37)</f>
        <v>2002000</v>
      </c>
      <c r="I7" s="18">
        <f>SUMIF('Raw Data'!C2:C37,G7,'Raw Data'!G2:G37)</f>
        <v>518</v>
      </c>
      <c r="J7" s="30" t="s">
        <v>125</v>
      </c>
      <c r="K7" s="18">
        <f>IFERROR(H7/I7,0)</f>
        <v>3864.864864864865</v>
      </c>
    </row>
    <row r="8" spans="1:12" ht="15" customHeight="1" x14ac:dyDescent="0.3">
      <c r="A8" s="31" t="s">
        <v>126</v>
      </c>
      <c r="B8" s="32">
        <f>SUM(B5:B7)</f>
        <v>17147000</v>
      </c>
      <c r="C8" s="32">
        <f>SUM(C5:C7)</f>
        <v>2117</v>
      </c>
      <c r="D8" s="16"/>
      <c r="E8" s="16"/>
      <c r="G8" s="16" t="s">
        <v>35</v>
      </c>
      <c r="H8" s="18">
        <f>SUMIF('Raw Data'!C2:C37,G8,'Raw Data'!I2:I37)</f>
        <v>2536500</v>
      </c>
      <c r="I8" s="18">
        <f>SUMIF('Raw Data'!C2:C37,G8,'Raw Data'!G2:G37)</f>
        <v>452</v>
      </c>
      <c r="J8" s="30" t="s">
        <v>125</v>
      </c>
      <c r="K8" s="18">
        <f>IFERROR(H8/I8,0)</f>
        <v>5611.7256637168139</v>
      </c>
    </row>
    <row r="9" spans="1:12" ht="15" customHeight="1" x14ac:dyDescent="0.3">
      <c r="G9" s="31" t="s">
        <v>126</v>
      </c>
      <c r="H9" s="32">
        <f>SUM(H5:H8)</f>
        <v>17147000</v>
      </c>
      <c r="I9" s="32">
        <f>SUM(I5:I8)</f>
        <v>2117</v>
      </c>
      <c r="J9" s="16"/>
      <c r="K9" s="16"/>
    </row>
    <row r="11" spans="1:12" ht="15" customHeight="1" x14ac:dyDescent="0.3">
      <c r="A11" s="5" t="s">
        <v>127</v>
      </c>
      <c r="B11" s="5"/>
      <c r="C11" s="5"/>
      <c r="D11" s="5"/>
      <c r="E11" s="5"/>
    </row>
    <row r="12" spans="1:12" ht="15" customHeight="1" x14ac:dyDescent="0.3">
      <c r="A12" s="28" t="s">
        <v>3</v>
      </c>
      <c r="B12" s="28" t="s">
        <v>119</v>
      </c>
      <c r="C12" s="28" t="s">
        <v>120</v>
      </c>
      <c r="D12" s="28" t="s">
        <v>121</v>
      </c>
      <c r="E12" s="28" t="s">
        <v>128</v>
      </c>
    </row>
    <row r="13" spans="1:12" ht="15" customHeight="1" x14ac:dyDescent="0.3">
      <c r="A13" s="16" t="s">
        <v>15</v>
      </c>
      <c r="B13" s="18">
        <f>SUMIF('Raw Data'!D2:D37,A13,'Raw Data'!I2:I37)</f>
        <v>3817000</v>
      </c>
      <c r="C13" s="18">
        <f>SUMIF('Raw Data'!D2:D37,A13,'Raw Data'!G2:G37)</f>
        <v>640</v>
      </c>
      <c r="D13" s="20">
        <f>AVERAGEIF('Raw Data'!D2:D37,A13,'Raw Data'!L2:L37)</f>
        <v>0.53299999999999992</v>
      </c>
      <c r="E13" s="33">
        <f>RANK(B13,B13:B16,0)</f>
        <v>3</v>
      </c>
    </row>
    <row r="14" spans="1:12" ht="15" customHeight="1" x14ac:dyDescent="0.3">
      <c r="A14" s="16" t="s">
        <v>21</v>
      </c>
      <c r="B14" s="18">
        <f>SUMIF('Raw Data'!D2:D37,A14,'Raw Data'!I2:I37)</f>
        <v>5123500</v>
      </c>
      <c r="C14" s="18">
        <f>SUMIF('Raw Data'!D2:D37,A14,'Raw Data'!G2:G37)</f>
        <v>428</v>
      </c>
      <c r="D14" s="20">
        <f>AVERAGEIF('Raw Data'!D2:D37,A14,'Raw Data'!L2:L37)</f>
        <v>0.45555555555555549</v>
      </c>
      <c r="E14" s="33">
        <f>RANK(B14,B13:B16,0)</f>
        <v>1</v>
      </c>
    </row>
    <row r="15" spans="1:12" ht="15" customHeight="1" x14ac:dyDescent="0.3">
      <c r="A15" s="16" t="s">
        <v>26</v>
      </c>
      <c r="B15" s="18">
        <f>SUMIF('Raw Data'!D2:D37,A15,'Raw Data'!I2:I37)</f>
        <v>3610500</v>
      </c>
      <c r="C15" s="18">
        <f>SUMIF('Raw Data'!D2:D37,A15,'Raw Data'!G2:G37)</f>
        <v>580</v>
      </c>
      <c r="D15" s="20">
        <f>AVERAGEIF('Raw Data'!D2:D37,A15,'Raw Data'!L2:L37)</f>
        <v>0.58777777777777773</v>
      </c>
      <c r="E15" s="33">
        <f>RANK(B15,B13:B16,0)</f>
        <v>4</v>
      </c>
    </row>
    <row r="16" spans="1:12" ht="15" customHeight="1" x14ac:dyDescent="0.3">
      <c r="A16" s="16" t="s">
        <v>36</v>
      </c>
      <c r="B16" s="18">
        <f>SUMIF('Raw Data'!D2:D37,A16,'Raw Data'!I2:I37)</f>
        <v>4596000</v>
      </c>
      <c r="C16" s="18">
        <f>SUMIF('Raw Data'!D2:D37,A16,'Raw Data'!G2:G37)</f>
        <v>469</v>
      </c>
      <c r="D16" s="20">
        <f>AVERAGEIF('Raw Data'!D2:D37,A16,'Raw Data'!L2:L37)</f>
        <v>0.46499999999999997</v>
      </c>
      <c r="E16" s="33">
        <f>RANK(B16,B13:B16,0)</f>
        <v>2</v>
      </c>
    </row>
  </sheetData>
  <mergeCells count="4">
    <mergeCell ref="A1:L1"/>
    <mergeCell ref="A3:E3"/>
    <mergeCell ref="G3:K3"/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7" width="20" customWidth="1"/>
  </cols>
  <sheetData>
    <row r="1" spans="1:7" ht="36" customHeight="1" x14ac:dyDescent="0.3">
      <c r="A1" s="6" t="s">
        <v>129</v>
      </c>
      <c r="B1" s="6"/>
      <c r="C1" s="6"/>
      <c r="D1" s="6"/>
      <c r="E1" s="6"/>
      <c r="F1" s="6"/>
      <c r="G1" s="6"/>
    </row>
    <row r="3" spans="1:7" ht="15" customHeight="1" x14ac:dyDescent="0.3">
      <c r="A3" s="10" t="s">
        <v>130</v>
      </c>
      <c r="B3" s="10" t="s">
        <v>8</v>
      </c>
      <c r="C3" s="10" t="s">
        <v>10</v>
      </c>
      <c r="D3" s="10" t="s">
        <v>6</v>
      </c>
      <c r="E3" s="10" t="s">
        <v>11</v>
      </c>
      <c r="F3" s="10" t="s">
        <v>131</v>
      </c>
      <c r="G3" s="10" t="s">
        <v>132</v>
      </c>
    </row>
    <row r="4" spans="1:7" ht="15" customHeight="1" x14ac:dyDescent="0.3">
      <c r="A4" s="11" t="s">
        <v>133</v>
      </c>
      <c r="B4" s="13">
        <f>'Raw Data'!I2+'Raw Data'!I3+'Raw Data'!I4</f>
        <v>1825000</v>
      </c>
      <c r="C4" s="13">
        <f>'Raw Data'!K2+'Raw Data'!K3+'Raw Data'!K4</f>
        <v>723250</v>
      </c>
      <c r="D4" s="13">
        <f>'Raw Data'!G2+'Raw Data'!G3+'Raw Data'!G4</f>
        <v>92</v>
      </c>
      <c r="E4" s="15">
        <f t="shared" ref="E4:E15" si="0">IFERROR(C4/B4,0)</f>
        <v>0.39630136986301367</v>
      </c>
      <c r="F4" s="11" t="s">
        <v>134</v>
      </c>
      <c r="G4" s="14">
        <v>3500000</v>
      </c>
    </row>
    <row r="5" spans="1:7" ht="15" customHeight="1" x14ac:dyDescent="0.3">
      <c r="A5" s="16" t="s">
        <v>135</v>
      </c>
      <c r="B5" s="18">
        <f>'Raw Data'!I5+'Raw Data'!I6+'Raw Data'!I7</f>
        <v>996000</v>
      </c>
      <c r="C5" s="18">
        <f>'Raw Data'!K5+'Raw Data'!K6+'Raw Data'!K7</f>
        <v>458720</v>
      </c>
      <c r="D5" s="18">
        <f>'Raw Data'!G5+'Raw Data'!G6+'Raw Data'!G7</f>
        <v>200</v>
      </c>
      <c r="E5" s="20">
        <f t="shared" si="0"/>
        <v>0.46056224899598391</v>
      </c>
      <c r="F5" s="20">
        <f t="shared" ref="F5:F15" si="1">IFERROR((B5-B4)/B4,0)</f>
        <v>-0.45424657534246576</v>
      </c>
      <c r="G5" s="19">
        <v>3800000</v>
      </c>
    </row>
    <row r="6" spans="1:7" ht="15" customHeight="1" x14ac:dyDescent="0.3">
      <c r="A6" s="11" t="s">
        <v>136</v>
      </c>
      <c r="B6" s="13">
        <f>'Raw Data'!I8+'Raw Data'!I9+'Raw Data'!I10</f>
        <v>870000</v>
      </c>
      <c r="C6" s="13">
        <f>'Raw Data'!K8+'Raw Data'!K9+'Raw Data'!K10</f>
        <v>478500</v>
      </c>
      <c r="D6" s="13">
        <f>'Raw Data'!G8+'Raw Data'!G9+'Raw Data'!G10</f>
        <v>150</v>
      </c>
      <c r="E6" s="15">
        <f t="shared" si="0"/>
        <v>0.55000000000000004</v>
      </c>
      <c r="F6" s="15">
        <f t="shared" si="1"/>
        <v>-0.12650602409638553</v>
      </c>
      <c r="G6" s="14">
        <v>4000000</v>
      </c>
    </row>
    <row r="7" spans="1:7" ht="15" customHeight="1" x14ac:dyDescent="0.3">
      <c r="A7" s="16" t="s">
        <v>137</v>
      </c>
      <c r="B7" s="18">
        <f>'Raw Data'!I11+'Raw Data'!I12+'Raw Data'!I13</f>
        <v>999000</v>
      </c>
      <c r="C7" s="18">
        <f>'Raw Data'!K11+'Raw Data'!K12+'Raw Data'!K13</f>
        <v>492330</v>
      </c>
      <c r="D7" s="18">
        <f>'Raw Data'!G11+'Raw Data'!G12+'Raw Data'!G13</f>
        <v>218</v>
      </c>
      <c r="E7" s="20">
        <f t="shared" si="0"/>
        <v>0.4928228228228228</v>
      </c>
      <c r="F7" s="20">
        <f t="shared" si="1"/>
        <v>0.14827586206896551</v>
      </c>
      <c r="G7" s="19">
        <v>4200000</v>
      </c>
    </row>
    <row r="8" spans="1:7" ht="15" customHeight="1" x14ac:dyDescent="0.3">
      <c r="A8" s="11" t="s">
        <v>138</v>
      </c>
      <c r="B8" s="13">
        <f>'Raw Data'!I14+'Raw Data'!I15+'Raw Data'!I16</f>
        <v>1545000</v>
      </c>
      <c r="C8" s="13">
        <f>'Raw Data'!K14+'Raw Data'!K15+'Raw Data'!K16</f>
        <v>691225</v>
      </c>
      <c r="D8" s="13">
        <f>'Raw Data'!G14+'Raw Data'!G15+'Raw Data'!G16</f>
        <v>145</v>
      </c>
      <c r="E8" s="15">
        <f t="shared" si="0"/>
        <v>0.44739482200647251</v>
      </c>
      <c r="F8" s="15">
        <f t="shared" si="1"/>
        <v>0.54654654654654655</v>
      </c>
      <c r="G8" s="14">
        <v>4500000</v>
      </c>
    </row>
    <row r="9" spans="1:7" ht="15" customHeight="1" x14ac:dyDescent="0.3">
      <c r="A9" s="16" t="s">
        <v>139</v>
      </c>
      <c r="B9" s="18">
        <f>'Raw Data'!I17+'Raw Data'!I18+'Raw Data'!I19</f>
        <v>1246000</v>
      </c>
      <c r="C9" s="18">
        <f>'Raw Data'!K17+'Raw Data'!K18+'Raw Data'!K19</f>
        <v>495920</v>
      </c>
      <c r="D9" s="18">
        <f>'Raw Data'!G17+'Raw Data'!G18+'Raw Data'!G19</f>
        <v>150</v>
      </c>
      <c r="E9" s="20">
        <f t="shared" si="0"/>
        <v>0.39800963081861956</v>
      </c>
      <c r="F9" s="20">
        <f t="shared" si="1"/>
        <v>-0.19352750809061489</v>
      </c>
      <c r="G9" s="19">
        <v>4800000</v>
      </c>
    </row>
    <row r="10" spans="1:7" ht="15" customHeight="1" x14ac:dyDescent="0.3">
      <c r="A10" s="11" t="s">
        <v>140</v>
      </c>
      <c r="B10" s="13">
        <f>'Raw Data'!I20+'Raw Data'!I21+'Raw Data'!I22</f>
        <v>1197000</v>
      </c>
      <c r="C10" s="13">
        <f>'Raw Data'!K20+'Raw Data'!K21+'Raw Data'!K22</f>
        <v>566380</v>
      </c>
      <c r="D10" s="13">
        <f>'Raw Data'!G20+'Raw Data'!G21+'Raw Data'!G22</f>
        <v>190</v>
      </c>
      <c r="E10" s="15">
        <f t="shared" si="0"/>
        <v>0.47316624895572262</v>
      </c>
      <c r="F10" s="15">
        <f t="shared" si="1"/>
        <v>-3.9325842696629212E-2</v>
      </c>
      <c r="G10" s="14">
        <v>5000000</v>
      </c>
    </row>
    <row r="11" spans="1:7" ht="15" customHeight="1" x14ac:dyDescent="0.3">
      <c r="A11" s="16" t="s">
        <v>141</v>
      </c>
      <c r="B11" s="18">
        <f>'Raw Data'!I23+'Raw Data'!I24+'Raw Data'!I25</f>
        <v>1775000</v>
      </c>
      <c r="C11" s="18">
        <f>'Raw Data'!K23+'Raw Data'!K24+'Raw Data'!K25</f>
        <v>779900</v>
      </c>
      <c r="D11" s="18">
        <f>'Raw Data'!G23+'Raw Data'!G24+'Raw Data'!G25</f>
        <v>215</v>
      </c>
      <c r="E11" s="20">
        <f t="shared" si="0"/>
        <v>0.43938028169014087</v>
      </c>
      <c r="F11" s="20">
        <f t="shared" si="1"/>
        <v>0.4828738512949039</v>
      </c>
      <c r="G11" s="19">
        <v>5200000</v>
      </c>
    </row>
    <row r="12" spans="1:7" ht="15" customHeight="1" x14ac:dyDescent="0.3">
      <c r="A12" s="11" t="s">
        <v>142</v>
      </c>
      <c r="B12" s="13">
        <f>'Raw Data'!I26+'Raw Data'!I27+'Raw Data'!I28</f>
        <v>1516000</v>
      </c>
      <c r="C12" s="13">
        <f>'Raw Data'!K26+'Raw Data'!K27+'Raw Data'!K28</f>
        <v>617730</v>
      </c>
      <c r="D12" s="13">
        <f>'Raw Data'!G26+'Raw Data'!G27+'Raw Data'!G28</f>
        <v>113</v>
      </c>
      <c r="E12" s="15">
        <f t="shared" si="0"/>
        <v>0.40747361477572558</v>
      </c>
      <c r="F12" s="15">
        <f t="shared" si="1"/>
        <v>-0.14591549295774647</v>
      </c>
      <c r="G12" s="14">
        <v>5500000</v>
      </c>
    </row>
    <row r="13" spans="1:7" ht="15" customHeight="1" x14ac:dyDescent="0.3">
      <c r="A13" s="16" t="s">
        <v>143</v>
      </c>
      <c r="B13" s="18">
        <f>'Raw Data'!I29+'Raw Data'!I30+'Raw Data'!I31</f>
        <v>1437000</v>
      </c>
      <c r="C13" s="18">
        <f>'Raw Data'!K29+'Raw Data'!K30+'Raw Data'!K31</f>
        <v>651120</v>
      </c>
      <c r="D13" s="18">
        <f>'Raw Data'!G29+'Raw Data'!G30+'Raw Data'!G31</f>
        <v>249</v>
      </c>
      <c r="E13" s="20">
        <f t="shared" si="0"/>
        <v>0.45311064718162841</v>
      </c>
      <c r="F13" s="20">
        <f t="shared" si="1"/>
        <v>-5.2110817941952506E-2</v>
      </c>
      <c r="G13" s="19">
        <v>5800000</v>
      </c>
    </row>
    <row r="14" spans="1:7" ht="15" customHeight="1" x14ac:dyDescent="0.3">
      <c r="A14" s="11" t="s">
        <v>144</v>
      </c>
      <c r="B14" s="13">
        <f>'Raw Data'!I32+'Raw Data'!I33+'Raw Data'!I34</f>
        <v>2041000</v>
      </c>
      <c r="C14" s="13">
        <f>'Raw Data'!K32+'Raw Data'!K33+'Raw Data'!K34</f>
        <v>914300</v>
      </c>
      <c r="D14" s="13">
        <f>'Raw Data'!G32+'Raw Data'!G33+'Raw Data'!G34</f>
        <v>205</v>
      </c>
      <c r="E14" s="15">
        <f t="shared" si="0"/>
        <v>0.44796668299853015</v>
      </c>
      <c r="F14" s="15">
        <f t="shared" si="1"/>
        <v>0.42032011134307584</v>
      </c>
      <c r="G14" s="14">
        <v>6000000</v>
      </c>
    </row>
    <row r="15" spans="1:7" ht="15" customHeight="1" x14ac:dyDescent="0.3">
      <c r="A15" s="16" t="s">
        <v>145</v>
      </c>
      <c r="B15" s="18">
        <f>'Raw Data'!I35+'Raw Data'!I36+'Raw Data'!I37</f>
        <v>1700000</v>
      </c>
      <c r="C15" s="18">
        <f>'Raw Data'!K35+'Raw Data'!K36+'Raw Data'!K37</f>
        <v>681700</v>
      </c>
      <c r="D15" s="18">
        <f>'Raw Data'!G35+'Raw Data'!G36+'Raw Data'!G37</f>
        <v>190</v>
      </c>
      <c r="E15" s="20">
        <f t="shared" si="0"/>
        <v>0.40100000000000002</v>
      </c>
      <c r="F15" s="20">
        <f t="shared" si="1"/>
        <v>-0.1670749632533072</v>
      </c>
      <c r="G15" s="19">
        <v>6500000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"/>
  <sheetViews>
    <sheetView showGridLines="0" topLeftCell="A16" zoomScaleNormal="100" workbookViewId="0">
      <selection sqref="A1:H1"/>
    </sheetView>
  </sheetViews>
  <sheetFormatPr defaultColWidth="8.6640625" defaultRowHeight="14.4" x14ac:dyDescent="0.3"/>
  <cols>
    <col min="1" max="8" width="22" customWidth="1"/>
  </cols>
  <sheetData>
    <row r="1" spans="1:8" ht="36" customHeight="1" x14ac:dyDescent="0.3">
      <c r="A1" s="6" t="s">
        <v>146</v>
      </c>
      <c r="B1" s="6"/>
      <c r="C1" s="6"/>
      <c r="D1" s="6"/>
      <c r="E1" s="6"/>
      <c r="F1" s="6"/>
      <c r="G1" s="6"/>
      <c r="H1" s="6"/>
    </row>
    <row r="3" spans="1:8" ht="15" customHeight="1" x14ac:dyDescent="0.3">
      <c r="A3" s="5" t="s">
        <v>147</v>
      </c>
      <c r="B3" s="5"/>
      <c r="C3" s="5"/>
      <c r="D3" s="5"/>
    </row>
    <row r="4" spans="1:8" ht="15" customHeight="1" x14ac:dyDescent="0.3">
      <c r="A4" s="34" t="s">
        <v>148</v>
      </c>
      <c r="B4" s="16"/>
      <c r="C4" s="35">
        <v>85</v>
      </c>
      <c r="D4" s="16"/>
    </row>
    <row r="5" spans="1:8" ht="15" customHeight="1" x14ac:dyDescent="0.3">
      <c r="A5" s="34" t="s">
        <v>149</v>
      </c>
      <c r="B5" s="16"/>
      <c r="C5" s="35">
        <v>18500</v>
      </c>
      <c r="D5" s="16"/>
    </row>
    <row r="6" spans="1:8" ht="15" customHeight="1" x14ac:dyDescent="0.3">
      <c r="A6" s="34" t="s">
        <v>150</v>
      </c>
      <c r="B6" s="16"/>
      <c r="C6" s="36">
        <v>0.03</v>
      </c>
      <c r="D6" s="16"/>
    </row>
    <row r="7" spans="1:8" ht="15" customHeight="1" x14ac:dyDescent="0.3">
      <c r="A7" s="34" t="s">
        <v>151</v>
      </c>
      <c r="B7" s="16"/>
      <c r="C7" s="36">
        <v>0.52</v>
      </c>
      <c r="D7" s="16"/>
    </row>
    <row r="8" spans="1:8" ht="15" customHeight="1" x14ac:dyDescent="0.3">
      <c r="A8" s="34" t="s">
        <v>152</v>
      </c>
      <c r="B8" s="16"/>
      <c r="C8" s="36">
        <v>0.3</v>
      </c>
      <c r="D8" s="16"/>
    </row>
    <row r="10" spans="1:8" ht="15" customHeight="1" x14ac:dyDescent="0.3">
      <c r="A10" s="5" t="s">
        <v>153</v>
      </c>
      <c r="B10" s="5"/>
      <c r="C10" s="5"/>
      <c r="D10" s="5"/>
      <c r="E10" s="5"/>
      <c r="F10" s="5"/>
      <c r="G10" s="5"/>
      <c r="H10" s="5"/>
    </row>
    <row r="11" spans="1:8" ht="15" customHeight="1" x14ac:dyDescent="0.3">
      <c r="A11" s="28" t="s">
        <v>130</v>
      </c>
      <c r="B11" s="28" t="s">
        <v>154</v>
      </c>
      <c r="C11" s="28" t="s">
        <v>155</v>
      </c>
      <c r="D11" s="28" t="s">
        <v>156</v>
      </c>
      <c r="E11" s="28" t="s">
        <v>157</v>
      </c>
      <c r="F11" s="28" t="s">
        <v>158</v>
      </c>
      <c r="G11" s="28" t="s">
        <v>159</v>
      </c>
      <c r="H11" s="28" t="s">
        <v>160</v>
      </c>
    </row>
    <row r="12" spans="1:8" ht="15" customHeight="1" x14ac:dyDescent="0.3">
      <c r="A12" s="11" t="s">
        <v>133</v>
      </c>
      <c r="B12" s="13">
        <f>$C$4</f>
        <v>85</v>
      </c>
      <c r="C12" s="13">
        <f t="shared" ref="C12:C23" si="0">$C$5</f>
        <v>18500</v>
      </c>
      <c r="D12" s="13">
        <f t="shared" ref="D12:D23" si="1">B12*C12</f>
        <v>1572500</v>
      </c>
      <c r="E12" s="13">
        <f t="shared" ref="E12:E23" si="2">D12*$C$7</f>
        <v>817700</v>
      </c>
      <c r="F12" s="13">
        <f t="shared" ref="F12:F23" si="3">D12-E12</f>
        <v>754800</v>
      </c>
      <c r="G12" s="15">
        <f t="shared" ref="G12:G23" si="4">IFERROR(F12/D12,0)</f>
        <v>0.48</v>
      </c>
      <c r="H12" s="37" t="str">
        <f t="shared" ref="H12:H23" si="5">IF(G12&gt;=$C$8,"On Track","Below Target")</f>
        <v>On Track</v>
      </c>
    </row>
    <row r="13" spans="1:8" ht="15" customHeight="1" x14ac:dyDescent="0.3">
      <c r="A13" s="16" t="s">
        <v>135</v>
      </c>
      <c r="B13" s="18">
        <f t="shared" ref="B13:B23" si="6">ROUND(B12*(1+$C$6),0)</f>
        <v>88</v>
      </c>
      <c r="C13" s="18">
        <f t="shared" si="0"/>
        <v>18500</v>
      </c>
      <c r="D13" s="18">
        <f t="shared" si="1"/>
        <v>1628000</v>
      </c>
      <c r="E13" s="18">
        <f t="shared" si="2"/>
        <v>846560</v>
      </c>
      <c r="F13" s="18">
        <f t="shared" si="3"/>
        <v>781440</v>
      </c>
      <c r="G13" s="20">
        <f t="shared" si="4"/>
        <v>0.48</v>
      </c>
      <c r="H13" s="38" t="str">
        <f t="shared" si="5"/>
        <v>On Track</v>
      </c>
    </row>
    <row r="14" spans="1:8" ht="15" customHeight="1" x14ac:dyDescent="0.3">
      <c r="A14" s="11" t="s">
        <v>136</v>
      </c>
      <c r="B14" s="13">
        <f t="shared" si="6"/>
        <v>91</v>
      </c>
      <c r="C14" s="13">
        <f t="shared" si="0"/>
        <v>18500</v>
      </c>
      <c r="D14" s="13">
        <f t="shared" si="1"/>
        <v>1683500</v>
      </c>
      <c r="E14" s="13">
        <f t="shared" si="2"/>
        <v>875420</v>
      </c>
      <c r="F14" s="13">
        <f t="shared" si="3"/>
        <v>808080</v>
      </c>
      <c r="G14" s="15">
        <f t="shared" si="4"/>
        <v>0.48</v>
      </c>
      <c r="H14" s="37" t="str">
        <f t="shared" si="5"/>
        <v>On Track</v>
      </c>
    </row>
    <row r="15" spans="1:8" ht="15" customHeight="1" x14ac:dyDescent="0.3">
      <c r="A15" s="16" t="s">
        <v>137</v>
      </c>
      <c r="B15" s="18">
        <f t="shared" si="6"/>
        <v>94</v>
      </c>
      <c r="C15" s="18">
        <f t="shared" si="0"/>
        <v>18500</v>
      </c>
      <c r="D15" s="18">
        <f t="shared" si="1"/>
        <v>1739000</v>
      </c>
      <c r="E15" s="18">
        <f t="shared" si="2"/>
        <v>904280</v>
      </c>
      <c r="F15" s="18">
        <f t="shared" si="3"/>
        <v>834720</v>
      </c>
      <c r="G15" s="20">
        <f t="shared" si="4"/>
        <v>0.48</v>
      </c>
      <c r="H15" s="38" t="str">
        <f t="shared" si="5"/>
        <v>On Track</v>
      </c>
    </row>
    <row r="16" spans="1:8" ht="15" customHeight="1" x14ac:dyDescent="0.3">
      <c r="A16" s="11" t="s">
        <v>138</v>
      </c>
      <c r="B16" s="13">
        <f t="shared" si="6"/>
        <v>97</v>
      </c>
      <c r="C16" s="13">
        <f t="shared" si="0"/>
        <v>18500</v>
      </c>
      <c r="D16" s="13">
        <f t="shared" si="1"/>
        <v>1794500</v>
      </c>
      <c r="E16" s="13">
        <f t="shared" si="2"/>
        <v>933140</v>
      </c>
      <c r="F16" s="13">
        <f t="shared" si="3"/>
        <v>861360</v>
      </c>
      <c r="G16" s="15">
        <f t="shared" si="4"/>
        <v>0.48</v>
      </c>
      <c r="H16" s="37" t="str">
        <f t="shared" si="5"/>
        <v>On Track</v>
      </c>
    </row>
    <row r="17" spans="1:8" ht="15" customHeight="1" x14ac:dyDescent="0.3">
      <c r="A17" s="16" t="s">
        <v>139</v>
      </c>
      <c r="B17" s="18">
        <f t="shared" si="6"/>
        <v>100</v>
      </c>
      <c r="C17" s="18">
        <f t="shared" si="0"/>
        <v>18500</v>
      </c>
      <c r="D17" s="18">
        <f t="shared" si="1"/>
        <v>1850000</v>
      </c>
      <c r="E17" s="18">
        <f t="shared" si="2"/>
        <v>962000</v>
      </c>
      <c r="F17" s="18">
        <f t="shared" si="3"/>
        <v>888000</v>
      </c>
      <c r="G17" s="20">
        <f t="shared" si="4"/>
        <v>0.48</v>
      </c>
      <c r="H17" s="38" t="str">
        <f t="shared" si="5"/>
        <v>On Track</v>
      </c>
    </row>
    <row r="18" spans="1:8" ht="15" customHeight="1" x14ac:dyDescent="0.3">
      <c r="A18" s="11" t="s">
        <v>140</v>
      </c>
      <c r="B18" s="13">
        <f t="shared" si="6"/>
        <v>103</v>
      </c>
      <c r="C18" s="13">
        <f t="shared" si="0"/>
        <v>18500</v>
      </c>
      <c r="D18" s="13">
        <f t="shared" si="1"/>
        <v>1905500</v>
      </c>
      <c r="E18" s="13">
        <f t="shared" si="2"/>
        <v>990860</v>
      </c>
      <c r="F18" s="13">
        <f t="shared" si="3"/>
        <v>914640</v>
      </c>
      <c r="G18" s="15">
        <f t="shared" si="4"/>
        <v>0.48</v>
      </c>
      <c r="H18" s="37" t="str">
        <f t="shared" si="5"/>
        <v>On Track</v>
      </c>
    </row>
    <row r="19" spans="1:8" ht="15" customHeight="1" x14ac:dyDescent="0.3">
      <c r="A19" s="16" t="s">
        <v>141</v>
      </c>
      <c r="B19" s="18">
        <f t="shared" si="6"/>
        <v>106</v>
      </c>
      <c r="C19" s="18">
        <f t="shared" si="0"/>
        <v>18500</v>
      </c>
      <c r="D19" s="18">
        <f t="shared" si="1"/>
        <v>1961000</v>
      </c>
      <c r="E19" s="18">
        <f t="shared" si="2"/>
        <v>1019720</v>
      </c>
      <c r="F19" s="18">
        <f t="shared" si="3"/>
        <v>941280</v>
      </c>
      <c r="G19" s="20">
        <f t="shared" si="4"/>
        <v>0.48</v>
      </c>
      <c r="H19" s="38" t="str">
        <f t="shared" si="5"/>
        <v>On Track</v>
      </c>
    </row>
    <row r="20" spans="1:8" ht="15" customHeight="1" x14ac:dyDescent="0.3">
      <c r="A20" s="11" t="s">
        <v>142</v>
      </c>
      <c r="B20" s="13">
        <f t="shared" si="6"/>
        <v>109</v>
      </c>
      <c r="C20" s="13">
        <f t="shared" si="0"/>
        <v>18500</v>
      </c>
      <c r="D20" s="13">
        <f t="shared" si="1"/>
        <v>2016500</v>
      </c>
      <c r="E20" s="13">
        <f t="shared" si="2"/>
        <v>1048580</v>
      </c>
      <c r="F20" s="13">
        <f t="shared" si="3"/>
        <v>967920</v>
      </c>
      <c r="G20" s="15">
        <f t="shared" si="4"/>
        <v>0.48</v>
      </c>
      <c r="H20" s="37" t="str">
        <f t="shared" si="5"/>
        <v>On Track</v>
      </c>
    </row>
    <row r="21" spans="1:8" ht="15" customHeight="1" x14ac:dyDescent="0.3">
      <c r="A21" s="16" t="s">
        <v>143</v>
      </c>
      <c r="B21" s="18">
        <f t="shared" si="6"/>
        <v>112</v>
      </c>
      <c r="C21" s="18">
        <f t="shared" si="0"/>
        <v>18500</v>
      </c>
      <c r="D21" s="18">
        <f t="shared" si="1"/>
        <v>2072000</v>
      </c>
      <c r="E21" s="18">
        <f t="shared" si="2"/>
        <v>1077440</v>
      </c>
      <c r="F21" s="18">
        <f t="shared" si="3"/>
        <v>994560</v>
      </c>
      <c r="G21" s="20">
        <f t="shared" si="4"/>
        <v>0.48</v>
      </c>
      <c r="H21" s="38" t="str">
        <f t="shared" si="5"/>
        <v>On Track</v>
      </c>
    </row>
    <row r="22" spans="1:8" ht="15" customHeight="1" x14ac:dyDescent="0.3">
      <c r="A22" s="11" t="s">
        <v>144</v>
      </c>
      <c r="B22" s="13">
        <f t="shared" si="6"/>
        <v>115</v>
      </c>
      <c r="C22" s="13">
        <f t="shared" si="0"/>
        <v>18500</v>
      </c>
      <c r="D22" s="13">
        <f t="shared" si="1"/>
        <v>2127500</v>
      </c>
      <c r="E22" s="13">
        <f t="shared" si="2"/>
        <v>1106300</v>
      </c>
      <c r="F22" s="13">
        <f t="shared" si="3"/>
        <v>1021200</v>
      </c>
      <c r="G22" s="15">
        <f t="shared" si="4"/>
        <v>0.48</v>
      </c>
      <c r="H22" s="37" t="str">
        <f t="shared" si="5"/>
        <v>On Track</v>
      </c>
    </row>
    <row r="23" spans="1:8" ht="15" customHeight="1" x14ac:dyDescent="0.3">
      <c r="A23" s="16" t="s">
        <v>145</v>
      </c>
      <c r="B23" s="18">
        <f t="shared" si="6"/>
        <v>118</v>
      </c>
      <c r="C23" s="18">
        <f t="shared" si="0"/>
        <v>18500</v>
      </c>
      <c r="D23" s="18">
        <f t="shared" si="1"/>
        <v>2183000</v>
      </c>
      <c r="E23" s="18">
        <f t="shared" si="2"/>
        <v>1135160</v>
      </c>
      <c r="F23" s="18">
        <f t="shared" si="3"/>
        <v>1047840</v>
      </c>
      <c r="G23" s="20">
        <f t="shared" si="4"/>
        <v>0.48</v>
      </c>
      <c r="H23" s="38" t="str">
        <f t="shared" si="5"/>
        <v>On Track</v>
      </c>
    </row>
    <row r="25" spans="1:8" ht="15" customHeight="1" x14ac:dyDescent="0.3">
      <c r="A25" s="5" t="s">
        <v>161</v>
      </c>
      <c r="B25" s="5"/>
      <c r="C25" s="5"/>
      <c r="D25" s="5"/>
    </row>
    <row r="26" spans="1:8" ht="15" customHeight="1" x14ac:dyDescent="0.3">
      <c r="A26" s="34" t="s">
        <v>162</v>
      </c>
      <c r="B26" s="16"/>
      <c r="C26" s="39">
        <f>SUM(D12:D23)</f>
        <v>22533000</v>
      </c>
      <c r="D26" s="16"/>
    </row>
    <row r="27" spans="1:8" ht="15" customHeight="1" x14ac:dyDescent="0.3">
      <c r="A27" s="34" t="s">
        <v>163</v>
      </c>
      <c r="B27" s="16"/>
      <c r="C27" s="39">
        <f>SUM(F12:F23)</f>
        <v>10815840</v>
      </c>
      <c r="D27" s="16"/>
    </row>
    <row r="28" spans="1:8" ht="15" customHeight="1" x14ac:dyDescent="0.3">
      <c r="A28" s="34" t="s">
        <v>164</v>
      </c>
      <c r="B28" s="16"/>
      <c r="C28" s="40">
        <f>AVERAGE(G12:G23)</f>
        <v>0.48000000000000015</v>
      </c>
      <c r="D28" s="16"/>
    </row>
    <row r="29" spans="1:8" ht="15" customHeight="1" x14ac:dyDescent="0.3">
      <c r="A29" s="34" t="s">
        <v>165</v>
      </c>
      <c r="B29" s="16"/>
      <c r="C29" s="41">
        <f>COUNTIF(H12:H23,"On Track")</f>
        <v>12</v>
      </c>
      <c r="D29" s="16"/>
    </row>
  </sheetData>
  <mergeCells count="4">
    <mergeCell ref="A1:H1"/>
    <mergeCell ref="A3:D3"/>
    <mergeCell ref="A10:H10"/>
    <mergeCell ref="A25:D25"/>
  </mergeCells>
  <conditionalFormatting sqref="H12:H23">
    <cfRule type="cellIs" dxfId="1" priority="2" operator="equal">
      <formula>"On Track"</formula>
    </cfRule>
    <cfRule type="cellIs" dxfId="0" priority="3" operator="equal">
      <formula>"Below Target"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15"/>
  <sheetViews>
    <sheetView showGridLines="0" topLeftCell="A8" zoomScaleNormal="100" workbookViewId="0"/>
  </sheetViews>
  <sheetFormatPr defaultColWidth="8.6640625" defaultRowHeight="14.4" x14ac:dyDescent="0.3"/>
  <cols>
    <col min="1" max="12" width="16" customWidth="1"/>
  </cols>
  <sheetData>
    <row r="2" spans="2:12" ht="42" customHeight="1" x14ac:dyDescent="0.3">
      <c r="B2" s="4" t="s">
        <v>166</v>
      </c>
      <c r="C2" s="4"/>
      <c r="D2" s="4"/>
      <c r="E2" s="4"/>
      <c r="F2" s="4"/>
      <c r="G2" s="4"/>
      <c r="H2" s="4"/>
      <c r="I2" s="4"/>
      <c r="J2" s="4"/>
      <c r="K2" s="4"/>
      <c r="L2" s="4"/>
    </row>
    <row r="4" spans="2:12" ht="24" customHeight="1" x14ac:dyDescent="0.3">
      <c r="B4" s="3" t="s">
        <v>119</v>
      </c>
      <c r="D4" s="3" t="s">
        <v>167</v>
      </c>
      <c r="F4" s="3" t="s">
        <v>168</v>
      </c>
      <c r="H4" s="3" t="s">
        <v>169</v>
      </c>
      <c r="J4" s="3" t="s">
        <v>170</v>
      </c>
    </row>
    <row r="5" spans="2:12" ht="15" customHeight="1" x14ac:dyDescent="0.3">
      <c r="B5" s="3"/>
      <c r="D5" s="3"/>
      <c r="F5" s="3"/>
      <c r="H5" s="3"/>
      <c r="J5" s="3"/>
    </row>
    <row r="6" spans="2:12" ht="30" customHeight="1" x14ac:dyDescent="0.3">
      <c r="B6" s="42">
        <f>'Pivot Summary'!B8</f>
        <v>17147000</v>
      </c>
      <c r="D6" s="42">
        <f>'Pivot Summary'!B8*AVERAGE('Raw Data'!L2:L37)</f>
        <v>8783074.4444444478</v>
      </c>
      <c r="F6" s="42">
        <f>'Pivot Summary'!C8</f>
        <v>2117</v>
      </c>
      <c r="H6" s="43">
        <f>AVERAGE('Raw Data'!L2:L37)</f>
        <v>0.51222222222222247</v>
      </c>
      <c r="J6" s="44" t="str">
        <f>INDEX('Pivot Summary'!A13:A16,MATCH(MAX('Pivot Summary'!B13:B16),'Pivot Summary'!B13:B16,0))</f>
        <v>Fatima</v>
      </c>
    </row>
    <row r="8" spans="2:12" ht="39.75" customHeight="1" x14ac:dyDescent="0.3">
      <c r="B8" s="2" t="s">
        <v>171</v>
      </c>
      <c r="C8" s="2"/>
      <c r="D8" s="2"/>
      <c r="E8" s="2"/>
      <c r="F8" s="2"/>
      <c r="G8" s="2"/>
      <c r="H8" s="2"/>
      <c r="I8" s="2"/>
      <c r="J8" s="2"/>
      <c r="K8" s="2"/>
      <c r="L8" s="2"/>
    </row>
    <row r="10" spans="2:12" ht="15" customHeight="1" x14ac:dyDescent="0.3">
      <c r="B10" s="1" t="s">
        <v>172</v>
      </c>
      <c r="C10" s="1"/>
      <c r="D10" s="1"/>
      <c r="E10" s="1"/>
      <c r="F10" s="1"/>
      <c r="G10" s="1"/>
      <c r="I10" s="1" t="s">
        <v>173</v>
      </c>
      <c r="J10" s="1"/>
      <c r="K10" s="1"/>
      <c r="L10" s="1"/>
    </row>
    <row r="11" spans="2:12" ht="15" customHeight="1" x14ac:dyDescent="0.3">
      <c r="B11" s="28" t="s">
        <v>106</v>
      </c>
      <c r="C11" s="28" t="s">
        <v>156</v>
      </c>
      <c r="D11" s="28" t="s">
        <v>174</v>
      </c>
      <c r="E11" s="28" t="s">
        <v>159</v>
      </c>
      <c r="I11" s="28" t="s">
        <v>175</v>
      </c>
      <c r="J11" s="28" t="s">
        <v>156</v>
      </c>
      <c r="K11" s="28" t="s">
        <v>128</v>
      </c>
    </row>
    <row r="12" spans="2:12" ht="15" customHeight="1" x14ac:dyDescent="0.3">
      <c r="B12" s="16" t="s">
        <v>16</v>
      </c>
      <c r="C12" s="18">
        <f>'Pivot Summary'!B5</f>
        <v>12955000</v>
      </c>
      <c r="D12" s="18">
        <f>'Pivot Summary'!C5</f>
        <v>402</v>
      </c>
      <c r="E12" s="20">
        <f>'Pivot Summary'!D5</f>
        <v>0.37999999999999995</v>
      </c>
      <c r="I12" s="16" t="s">
        <v>15</v>
      </c>
      <c r="J12" s="18">
        <f>'Pivot Summary'!B10</f>
        <v>0</v>
      </c>
      <c r="K12" s="16">
        <f>'Pivot Summary'!E10</f>
        <v>0</v>
      </c>
    </row>
    <row r="13" spans="2:12" ht="15" customHeight="1" x14ac:dyDescent="0.3">
      <c r="B13" s="16" t="s">
        <v>31</v>
      </c>
      <c r="C13" s="18">
        <f>'Pivot Summary'!B6</f>
        <v>1897500</v>
      </c>
      <c r="D13" s="18">
        <f>'Pivot Summary'!C6</f>
        <v>585</v>
      </c>
      <c r="E13" s="20">
        <f>'Pivot Summary'!D6</f>
        <v>0.71999999999999986</v>
      </c>
      <c r="I13" s="16" t="s">
        <v>21</v>
      </c>
      <c r="J13" s="18">
        <f>'Pivot Summary'!B11</f>
        <v>0</v>
      </c>
      <c r="K13" s="16">
        <f>'Pivot Summary'!E11</f>
        <v>0</v>
      </c>
    </row>
    <row r="14" spans="2:12" ht="15" customHeight="1" x14ac:dyDescent="0.3">
      <c r="B14" s="16" t="s">
        <v>27</v>
      </c>
      <c r="C14" s="18">
        <f>'Pivot Summary'!B7</f>
        <v>2294500</v>
      </c>
      <c r="D14" s="18">
        <f>'Pivot Summary'!C7</f>
        <v>1130</v>
      </c>
      <c r="E14" s="20">
        <f>'Pivot Summary'!D7</f>
        <v>0.54999999999999993</v>
      </c>
      <c r="I14" s="16" t="s">
        <v>26</v>
      </c>
      <c r="J14" s="18" t="str">
        <f>'Pivot Summary'!B12</f>
        <v>Total Revenue</v>
      </c>
      <c r="K14" s="16" t="str">
        <f>'Pivot Summary'!E12</f>
        <v>Rank</v>
      </c>
    </row>
    <row r="15" spans="2:12" ht="15" customHeight="1" x14ac:dyDescent="0.3">
      <c r="I15" s="16" t="s">
        <v>36</v>
      </c>
      <c r="J15" s="18">
        <f>'Pivot Summary'!B13</f>
        <v>3817000</v>
      </c>
      <c r="K15" s="33">
        <f>'Pivot Summary'!E13</f>
        <v>3</v>
      </c>
    </row>
  </sheetData>
  <mergeCells count="9">
    <mergeCell ref="B8:L8"/>
    <mergeCell ref="B10:G10"/>
    <mergeCell ref="I10:L10"/>
    <mergeCell ref="B2:L2"/>
    <mergeCell ref="B4:B5"/>
    <mergeCell ref="D4:D5"/>
    <mergeCell ref="F4:F5"/>
    <mergeCell ref="H4:H5"/>
    <mergeCell ref="J4:J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Lookup Table</vt:lpstr>
      <vt:lpstr>Pivot Summary</vt:lpstr>
      <vt:lpstr>Monthly Trend</vt:lpstr>
      <vt:lpstr>What-If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shahriar shihab</cp:lastModifiedBy>
  <cp:revision>2</cp:revision>
  <dcterms:created xsi:type="dcterms:W3CDTF">2026-05-02T07:09:39Z</dcterms:created>
  <dcterms:modified xsi:type="dcterms:W3CDTF">2026-05-02T07:15:27Z</dcterms:modified>
  <dc:language>en-US</dc:language>
</cp:coreProperties>
</file>